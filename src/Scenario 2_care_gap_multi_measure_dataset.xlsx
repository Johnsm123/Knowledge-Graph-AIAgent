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ognizantonline-my.sharepoint.com/personal/2416789_cognizant_com1/Documents/Desktop/Knowledge-GraphTesting/Knowledge-Graph-AIAgent/src/"/>
    </mc:Choice>
  </mc:AlternateContent>
  <xr:revisionPtr revIDLastSave="518" documentId="13_ncr:1_{EBCA80F7-FBA1-4C12-9752-7625893357B6}" xr6:coauthVersionLast="47" xr6:coauthVersionMax="47" xr10:uidLastSave="{0B79E715-2272-48E9-86E8-6DE760559A69}"/>
  <bookViews>
    <workbookView xWindow="-110" yWindow="-110" windowWidth="19420" windowHeight="11500" tabRatio="905" firstSheet="1" activeTab="2" xr2:uid="{00000000-000D-0000-FFFF-FFFF00000000}"/>
  </bookViews>
  <sheets>
    <sheet name="Members" sheetId="1" r:id="rId1"/>
    <sheet name="Claims" sheetId="3" r:id="rId2"/>
    <sheet name="BenefitPlan" sheetId="5" r:id="rId3"/>
    <sheet name="Providers" sheetId="2" r:id="rId4"/>
    <sheet name="Enrolment Eligibility" sheetId="6" r:id="rId5"/>
    <sheet name="QualityMeasures" sheetId="7" r:id="rId6"/>
    <sheet name="CareGaps_Dashboard" sheetId="8" r:id="rId7"/>
    <sheet name="CareMngnt_Outreach_Dashboard" sheetId="9" r:id="rId8"/>
  </sheets>
  <definedNames>
    <definedName name="_xlnm._FilterDatabase" localSheetId="1" hidden="1">Claims!$A$1:$G$74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 i="3" l="1"/>
  <c r="I2" i="1"/>
  <c r="I11" i="1"/>
  <c r="I31" i="1"/>
  <c r="I30" i="1"/>
  <c r="I29" i="1"/>
  <c r="I28" i="1"/>
  <c r="I27" i="1"/>
  <c r="I26" i="1"/>
  <c r="I25" i="1"/>
  <c r="I24" i="1"/>
  <c r="I23" i="1"/>
  <c r="I22" i="1"/>
  <c r="I21" i="1"/>
  <c r="I20" i="1"/>
  <c r="I19" i="1"/>
  <c r="I18" i="1"/>
  <c r="I17" i="1"/>
  <c r="I16" i="1"/>
  <c r="I15" i="1"/>
  <c r="I14" i="1"/>
  <c r="I13" i="1"/>
  <c r="I12" i="1"/>
  <c r="I10" i="1"/>
  <c r="I9" i="1"/>
  <c r="I8" i="1"/>
  <c r="I7" i="1"/>
  <c r="I6" i="1"/>
  <c r="I5" i="1"/>
  <c r="I4" i="1"/>
  <c r="I3" i="1"/>
</calcChain>
</file>

<file path=xl/sharedStrings.xml><?xml version="1.0" encoding="utf-8"?>
<sst xmlns="http://schemas.openxmlformats.org/spreadsheetml/2006/main" count="952" uniqueCount="323">
  <si>
    <t>MemberID</t>
  </si>
  <si>
    <t>Name</t>
  </si>
  <si>
    <t>DOB</t>
  </si>
  <si>
    <t>Gender</t>
  </si>
  <si>
    <t>PCPID</t>
  </si>
  <si>
    <t>ZIP</t>
  </si>
  <si>
    <t>EnrollmentStart</t>
  </si>
  <si>
    <t>EnrollmentEnd</t>
  </si>
  <si>
    <t>Member Age</t>
  </si>
  <si>
    <t>M0001</t>
  </si>
  <si>
    <t>Hayden Iyer</t>
  </si>
  <si>
    <t>M</t>
  </si>
  <si>
    <t>P1015</t>
  </si>
  <si>
    <t>02116</t>
  </si>
  <si>
    <t>M0002</t>
  </si>
  <si>
    <t>Taylor Zhang</t>
  </si>
  <si>
    <t>P1006</t>
  </si>
  <si>
    <t>22203</t>
  </si>
  <si>
    <t>M0003</t>
  </si>
  <si>
    <t>Quinn Fox</t>
  </si>
  <si>
    <t>P1000</t>
  </si>
  <si>
    <t>M0004</t>
  </si>
  <si>
    <t>Alex Banerjee</t>
  </si>
  <si>
    <t>F</t>
  </si>
  <si>
    <t>P1004</t>
  </si>
  <si>
    <t>94110</t>
  </si>
  <si>
    <t>M0005</t>
  </si>
  <si>
    <t>Rowan Kim</t>
  </si>
  <si>
    <t>P1010</t>
  </si>
  <si>
    <t>43215</t>
  </si>
  <si>
    <t>M0006</t>
  </si>
  <si>
    <t>Jamie Barrett</t>
  </si>
  <si>
    <t>07030</t>
  </si>
  <si>
    <t>M0007</t>
  </si>
  <si>
    <t>Jordan Lee</t>
  </si>
  <si>
    <t>P1013</t>
  </si>
  <si>
    <t>60601</t>
  </si>
  <si>
    <t>M0008</t>
  </si>
  <si>
    <t>Rowan Desai</t>
  </si>
  <si>
    <t>P1012</t>
  </si>
  <si>
    <t>30309</t>
  </si>
  <si>
    <t>M0009</t>
  </si>
  <si>
    <t>Quinn Gupta</t>
  </si>
  <si>
    <t>P1003</t>
  </si>
  <si>
    <t>M0010</t>
  </si>
  <si>
    <t>Casey Lopez</t>
  </si>
  <si>
    <t>P1009</t>
  </si>
  <si>
    <t>28202</t>
  </si>
  <si>
    <t>M0011</t>
  </si>
  <si>
    <t>Quinn Iyer</t>
  </si>
  <si>
    <t>P1007</t>
  </si>
  <si>
    <t>M0012</t>
  </si>
  <si>
    <t>Lennox Singh</t>
  </si>
  <si>
    <t>77002</t>
  </si>
  <si>
    <t>M0013</t>
  </si>
  <si>
    <t>Cameron Desai</t>
  </si>
  <si>
    <t>M0014</t>
  </si>
  <si>
    <t>Rowan Zhang</t>
  </si>
  <si>
    <t>M0015</t>
  </si>
  <si>
    <t>Priya Gupta</t>
  </si>
  <si>
    <t>P1011</t>
  </si>
  <si>
    <t>M0016</t>
  </si>
  <si>
    <t>Taylor Lopez</t>
  </si>
  <si>
    <t>M0017</t>
  </si>
  <si>
    <t>Avery Reese</t>
  </si>
  <si>
    <t>M0018</t>
  </si>
  <si>
    <t>Emery Iyer</t>
  </si>
  <si>
    <t>P1017</t>
  </si>
  <si>
    <t>M0019</t>
  </si>
  <si>
    <t>Jamie Nguyen</t>
  </si>
  <si>
    <t>M0020</t>
  </si>
  <si>
    <t>Logan Brooks</t>
  </si>
  <si>
    <t>P1008</t>
  </si>
  <si>
    <t>M0021</t>
  </si>
  <si>
    <t>Finley Gupta</t>
  </si>
  <si>
    <t>M0022</t>
  </si>
  <si>
    <t>Morgan Gupta</t>
  </si>
  <si>
    <t>M0023</t>
  </si>
  <si>
    <t>Blair Gupta</t>
  </si>
  <si>
    <t>10016</t>
  </si>
  <si>
    <t>M0024</t>
  </si>
  <si>
    <t>Peyton Desai</t>
  </si>
  <si>
    <t>85004</t>
  </si>
  <si>
    <t>M0025</t>
  </si>
  <si>
    <t>Riley Patel</t>
  </si>
  <si>
    <t>19103</t>
  </si>
  <si>
    <t>M0026</t>
  </si>
  <si>
    <t>Dakota Alvarez</t>
  </si>
  <si>
    <t>M0027</t>
  </si>
  <si>
    <t>Jordan Collins</t>
  </si>
  <si>
    <t>M0028</t>
  </si>
  <si>
    <t>Morgan Kim</t>
  </si>
  <si>
    <t>M0029</t>
  </si>
  <si>
    <t>Dakota Rao</t>
  </si>
  <si>
    <t>P1016</t>
  </si>
  <si>
    <t>33130</t>
  </si>
  <si>
    <t>M0030</t>
  </si>
  <si>
    <t>Finley Patel</t>
  </si>
  <si>
    <t>ClaimID</t>
  </si>
  <si>
    <t>ProviderID</t>
  </si>
  <si>
    <t>CPTCode</t>
  </si>
  <si>
    <t>ICDCode</t>
  </si>
  <si>
    <t>ServiceDate</t>
  </si>
  <si>
    <t>Status</t>
  </si>
  <si>
    <t>C000001</t>
  </si>
  <si>
    <t>J06.9</t>
  </si>
  <si>
    <t>Paid</t>
  </si>
  <si>
    <t>Informational only</t>
  </si>
  <si>
    <t>C000002</t>
  </si>
  <si>
    <t>Z00.00</t>
  </si>
  <si>
    <t>Screening Digital Breast Tomosynthesis (DBT), Bilateral (Add‑On Code)</t>
  </si>
  <si>
    <t>Description (Active Use):
CPT 77063 is used for bilateral screening digital breast tomosynthesis (3D mammography). It provides layered X‑ray images from multiple angles to improve breast cancer detection.
This is an add‑on code and must be billed with CPT 77067 (the primary screening mammogram). It cannot be billed alone.
Typical workflow:
Member undergoes a screening mammogram (77067)
Tomosynthesis (3D add‑on) is performed → bill 77063 + 77067</t>
  </si>
  <si>
    <t>C000003</t>
  </si>
  <si>
    <t>I10</t>
  </si>
  <si>
    <t>Screening Mammography, Bilateral (2‑Views Each Breast), including CAD</t>
  </si>
  <si>
    <t>Description (Active Use):
CPT 77067 is the standard code for a bilateral screening mammogram (2 views per breast) including computer‑aided detection (CAD).
Used for asymptomatic women for routine breast‑cancer screening—commonly performed annually.
It replaces older mammography codes 77055/77056/77057 and is the primary code associated with 77063 when 3D tomosynthesis is added. [medibillmd.com], [aapc.com]
Typical workflow:
Routine annual mammogram
Provider obtains two X‑ray views of each breast
CAD technology analyzes images
If 3D imaging is added → +77063</t>
  </si>
  <si>
    <t>C000004</t>
  </si>
  <si>
    <t>G0202</t>
  </si>
  <si>
    <t>Screening Mammography, Bilateral (Medicare)</t>
  </si>
  <si>
    <t>Description (Active Use):
HCPCS G0202 is used by Medicare for bilateral screening mammography (2‑view per breast) including CAD.
This code is Medicare‑specific because CMS previously required G‑codes instead of CPT for mammography.
Though G0202 was retired in 2018, many legacy/billing systems or historical claims still reference it. It represents routine preventive screening for asymptomatic Medicare patients.</t>
  </si>
  <si>
    <t>C000005</t>
  </si>
  <si>
    <t>P1014</t>
  </si>
  <si>
    <t>E11.9</t>
  </si>
  <si>
    <t>C000006</t>
  </si>
  <si>
    <t>Code</t>
  </si>
  <si>
    <t>Payer Type</t>
  </si>
  <si>
    <t>Description</t>
  </si>
  <si>
    <t>Billing Notes</t>
  </si>
  <si>
    <t>C000007</t>
  </si>
  <si>
    <t>Commercial + Medicare</t>
  </si>
  <si>
    <t>Screening digital breast tomosynthesis (DBT–3D), bilateral</t>
  </si>
  <si>
    <r>
      <t xml:space="preserve">Add‑on code; used </t>
    </r>
    <r>
      <rPr>
        <b/>
        <sz val="11"/>
        <color theme="0" tint="-0.499984740745262"/>
        <rFont val="Segoe UI"/>
        <family val="2"/>
      </rPr>
      <t>only with 77067</t>
    </r>
  </si>
  <si>
    <t>C000008</t>
  </si>
  <si>
    <t>P1002</t>
  </si>
  <si>
    <t>Screening mammography, bilateral, 2‑views + CAD</t>
  </si>
  <si>
    <t>Primary screening mammogram code</t>
  </si>
  <si>
    <t>C000009</t>
  </si>
  <si>
    <t>Medicare (historical)</t>
  </si>
  <si>
    <t>Used before 2018; replaced by 77067</t>
  </si>
  <si>
    <t>C000010</t>
  </si>
  <si>
    <t>C000011</t>
  </si>
  <si>
    <t>C000012</t>
  </si>
  <si>
    <t>C000013</t>
  </si>
  <si>
    <t>C000014</t>
  </si>
  <si>
    <t>C000015</t>
  </si>
  <si>
    <t>C000016</t>
  </si>
  <si>
    <t>C000017</t>
  </si>
  <si>
    <t>C000018</t>
  </si>
  <si>
    <t>C000019</t>
  </si>
  <si>
    <t>C000020</t>
  </si>
  <si>
    <t>P1005</t>
  </si>
  <si>
    <t>C000021</t>
  </si>
  <si>
    <t>C000022</t>
  </si>
  <si>
    <t>C000023</t>
  </si>
  <si>
    <t>C000024</t>
  </si>
  <si>
    <t>C000025</t>
  </si>
  <si>
    <t>C000026</t>
  </si>
  <si>
    <t>C000027</t>
  </si>
  <si>
    <t>C000028</t>
  </si>
  <si>
    <t>C000029</t>
  </si>
  <si>
    <t>C000030</t>
  </si>
  <si>
    <t>C000031</t>
  </si>
  <si>
    <t>P1001</t>
  </si>
  <si>
    <t>C000032</t>
  </si>
  <si>
    <t>C000033</t>
  </si>
  <si>
    <t>C000034</t>
  </si>
  <si>
    <t>C000035</t>
  </si>
  <si>
    <t>C000036</t>
  </si>
  <si>
    <t>C000037</t>
  </si>
  <si>
    <t>C000038</t>
  </si>
  <si>
    <t>C000039</t>
  </si>
  <si>
    <t>C000040</t>
  </si>
  <si>
    <t>C000041</t>
  </si>
  <si>
    <t>C000042</t>
  </si>
  <si>
    <t>C000043</t>
  </si>
  <si>
    <t>C000044</t>
  </si>
  <si>
    <t>C000045</t>
  </si>
  <si>
    <t>C000046</t>
  </si>
  <si>
    <t>C000047</t>
  </si>
  <si>
    <t>C000048</t>
  </si>
  <si>
    <t>C000049</t>
  </si>
  <si>
    <t>C000050</t>
  </si>
  <si>
    <t>C000051</t>
  </si>
  <si>
    <t>C000052</t>
  </si>
  <si>
    <t>C000053</t>
  </si>
  <si>
    <t>C000054</t>
  </si>
  <si>
    <t>C000055</t>
  </si>
  <si>
    <t>C000056</t>
  </si>
  <si>
    <t>C000057</t>
  </si>
  <si>
    <t>C000058</t>
  </si>
  <si>
    <t>C000059</t>
  </si>
  <si>
    <t>C000060</t>
  </si>
  <si>
    <t>C000061</t>
  </si>
  <si>
    <t>C000062</t>
  </si>
  <si>
    <t>C000063</t>
  </si>
  <si>
    <t>C000064</t>
  </si>
  <si>
    <t>C000065</t>
  </si>
  <si>
    <t>C000066</t>
  </si>
  <si>
    <t>C000067</t>
  </si>
  <si>
    <t>C000068</t>
  </si>
  <si>
    <t>C000069</t>
  </si>
  <si>
    <t>C000070</t>
  </si>
  <si>
    <t>C000071</t>
  </si>
  <si>
    <t>C000072</t>
  </si>
  <si>
    <t>C000073</t>
  </si>
  <si>
    <t>Z12.31</t>
  </si>
  <si>
    <t>PlanID</t>
  </si>
  <si>
    <t>PreventiveServicesCovered</t>
  </si>
  <si>
    <t>Copay</t>
  </si>
  <si>
    <t>Deductible</t>
  </si>
  <si>
    <t>EligibilityRules</t>
  </si>
  <si>
    <t>PL-001</t>
  </si>
  <si>
    <t>Mammography; Colonoscopy; Cervical Cytology; HPV; HbA1c; Adult Immunizations</t>
  </si>
  <si>
    <t>Active enrollment; Age/Gender/Diagnosis per measure</t>
  </si>
  <si>
    <t>Specialty</t>
  </si>
  <si>
    <t>FacilityType</t>
  </si>
  <si>
    <t>NetworkStatus</t>
  </si>
  <si>
    <t>Location</t>
  </si>
  <si>
    <t>Dr. Riley Kim</t>
  </si>
  <si>
    <t>Internal Medicine</t>
  </si>
  <si>
    <t>Clinic</t>
  </si>
  <si>
    <t>In-Network</t>
  </si>
  <si>
    <t>GA</t>
  </si>
  <si>
    <t>Dr. Hayden Park</t>
  </si>
  <si>
    <t>NY</t>
  </si>
  <si>
    <t>Dr. Logan Rivera</t>
  </si>
  <si>
    <t>TX</t>
  </si>
  <si>
    <t>Dr. Skyler O’Neal</t>
  </si>
  <si>
    <t>Family Medicine</t>
  </si>
  <si>
    <t>OH</t>
  </si>
  <si>
    <t>Dr. Emery Fox</t>
  </si>
  <si>
    <t>NC</t>
  </si>
  <si>
    <t>Dr. Kai Iyer</t>
  </si>
  <si>
    <t>MA</t>
  </si>
  <si>
    <t>Dr. Devon Desai</t>
  </si>
  <si>
    <t>Dr. Avery O’Neal</t>
  </si>
  <si>
    <t>WA</t>
  </si>
  <si>
    <t>Dr. Taylor Lee</t>
  </si>
  <si>
    <t>AZ</t>
  </si>
  <si>
    <t>Dr. Harper Collins</t>
  </si>
  <si>
    <t>VA</t>
  </si>
  <si>
    <t>Dr. Sage Alvarez</t>
  </si>
  <si>
    <t>FL</t>
  </si>
  <si>
    <t>Dr. Rowan Reese</t>
  </si>
  <si>
    <t>OB/GYN</t>
  </si>
  <si>
    <t>PA</t>
  </si>
  <si>
    <t>Dr. Logan Shah</t>
  </si>
  <si>
    <t>Endocrinology</t>
  </si>
  <si>
    <t>Dr. Casey O’Neal</t>
  </si>
  <si>
    <t>Dr. Kendall Lee</t>
  </si>
  <si>
    <t>Laboratory</t>
  </si>
  <si>
    <t>Lab</t>
  </si>
  <si>
    <t>Dr. Morgan Alvarez</t>
  </si>
  <si>
    <t>Radiology</t>
  </si>
  <si>
    <t>Imaging Center</t>
  </si>
  <si>
    <t>CA</t>
  </si>
  <si>
    <t>Dr. Jamie Murphy</t>
  </si>
  <si>
    <t>EffectiveFrom</t>
  </si>
  <si>
    <t>EffectiveTo</t>
  </si>
  <si>
    <t>31-12-2026</t>
  </si>
  <si>
    <t>MeasureID</t>
  </si>
  <si>
    <t>AgeRange</t>
  </si>
  <si>
    <t>CareManagerID</t>
  </si>
  <si>
    <r>
      <t xml:space="preserve">Meaure Lookback Period </t>
    </r>
    <r>
      <rPr>
        <sz val="11"/>
        <rFont val="Calibri"/>
        <family val="2"/>
      </rPr>
      <t>(Moths)</t>
    </r>
  </si>
  <si>
    <r>
      <t xml:space="preserve">Proactive-Lookback Period </t>
    </r>
    <r>
      <rPr>
        <sz val="11"/>
        <rFont val="Calibri"/>
        <family val="2"/>
      </rPr>
      <t>(Moths)</t>
    </r>
  </si>
  <si>
    <t>Just references</t>
  </si>
  <si>
    <t>BCS</t>
  </si>
  <si>
    <t>Breast Cancer Screening</t>
  </si>
  <si>
    <t>42-74 Female</t>
  </si>
  <si>
    <t>CPT: 77062, 77061, 77066, 77065, 77063, 77067</t>
  </si>
  <si>
    <t>https://files.providernews.anthem.com/5853/MULTI-BC-CR-075425-24-CPN74734-Breast-Cancer-Screening-%28BCS-E%29-2025-CR_FINAL.pdf</t>
  </si>
  <si>
    <t>COL</t>
  </si>
  <si>
    <t>Colorectal Cancer Screening</t>
  </si>
  <si>
    <t>45-75</t>
  </si>
  <si>
    <t>CPT:CPT: 44388, 44389, 44390, 44391, 44392, 44394, 44401-44408, 45378, 
45379, 45380, 45381, 45382, 45384, 45385, 45386, 45388, 45389, 45390, 
45391, 45392, 45393, 45398
HCPCS:G0105,G0121; Lab:FIT/FOBT</t>
  </si>
  <si>
    <t>https://www.hopkinsmedicine.org/-/media/johns-hopkins-health-plans/documents/2025-hedis-quality-measures-tip-sheet.pdf</t>
  </si>
  <si>
    <t>CCS</t>
  </si>
  <si>
    <t>Cervical Cancer Screening</t>
  </si>
  <si>
    <t>21-64 Female</t>
  </si>
  <si>
    <t>CPT: 88141-88143, 88147-88148, 88150, 88152, 88153, 88164-88167, 
88174-88175</t>
  </si>
  <si>
    <t>https://countycare.com/wp-content/uploads/2025-HEDIS-Coding-Guide_3.28.25.pdf</t>
  </si>
  <si>
    <t>CareGapID</t>
  </si>
  <si>
    <t>CreatedOn</t>
  </si>
  <si>
    <t>ClosedOn</t>
  </si>
  <si>
    <t>GAP-BCS-1</t>
  </si>
  <si>
    <t>Open</t>
  </si>
  <si>
    <t>10-02-2026</t>
  </si>
  <si>
    <t>GAP-COL-1</t>
  </si>
  <si>
    <t>05-02-2026</t>
  </si>
  <si>
    <t>GAP-HBA1C-1</t>
  </si>
  <si>
    <t>CDC-HbA1c</t>
  </si>
  <si>
    <t>31-01-2026</t>
  </si>
  <si>
    <t>GAP-HBA1C-2</t>
  </si>
  <si>
    <t>GAP-HBA1C-3</t>
  </si>
  <si>
    <t>GAP-HBA1C-4</t>
  </si>
  <si>
    <t>GAP-HBA1C-5</t>
  </si>
  <si>
    <t>GAP-HBA1C-C-M0018</t>
  </si>
  <si>
    <t>Closed</t>
  </si>
  <si>
    <t>11-01-2026</t>
  </si>
  <si>
    <t>13-01-2026</t>
  </si>
  <si>
    <t>GAP-HBA1C-C-M0021</t>
  </si>
  <si>
    <t>GAP-BCS-2</t>
  </si>
  <si>
    <t>22-01-2026</t>
  </si>
  <si>
    <t>OutreachID</t>
  </si>
  <si>
    <t>Channel</t>
  </si>
  <si>
    <t>Date</t>
  </si>
  <si>
    <t>OUT-BCS-1</t>
  </si>
  <si>
    <t>CM-101</t>
  </si>
  <si>
    <t>Phone</t>
  </si>
  <si>
    <t>12-02-2026</t>
  </si>
  <si>
    <t>Attempted</t>
  </si>
  <si>
    <t>OUT-COL-1</t>
  </si>
  <si>
    <t>CM-102</t>
  </si>
  <si>
    <t>SMS</t>
  </si>
  <si>
    <t>07-02-2026</t>
  </si>
  <si>
    <t>Scheduled</t>
  </si>
  <si>
    <t>OUT-HBA1C-1</t>
  </si>
  <si>
    <t>CM-201</t>
  </si>
  <si>
    <t>01-02-2026</t>
  </si>
  <si>
    <t>OUT-HBA1C-2</t>
  </si>
  <si>
    <t>OUT-HBA1C-3</t>
  </si>
  <si>
    <t>OUT-HBA1C-4</t>
  </si>
  <si>
    <t>OUT-HBA1C-5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</si>
</sst>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2" x14ac:knownFonts="1">
    <font>
      <sz val="11"/>
      <color theme="1"/>
      <name val="Calibri"/>
      <family val="2"/>
      <scheme val="minor"/>
    </font>
    <font>
      <b/>
      <sz val="11"/>
      <name val="Calibri"/>
      <family val="2"/>
    </font>
    <font>
      <b/>
      <sz val="11"/>
      <color theme="1"/>
      <name val="Calibri"/>
      <family val="2"/>
      <scheme val="minor"/>
    </font>
    <font>
      <sz val="11"/>
      <color theme="0" tint="-0.499984740745262"/>
      <name val="Calibri"/>
      <family val="2"/>
      <scheme val="minor"/>
    </font>
    <font>
      <b/>
      <sz val="11"/>
      <color theme="0" tint="-0.499984740745262"/>
      <name val="Calibri"/>
      <family val="2"/>
      <scheme val="minor"/>
    </font>
    <font>
      <b/>
      <sz val="11"/>
      <color theme="0" tint="-0.499984740745262"/>
      <name val="Segoe UI"/>
      <family val="2"/>
    </font>
    <font>
      <sz val="11"/>
      <color theme="0" tint="-0.499984740745262"/>
      <name val="Segoe UI"/>
      <family val="2"/>
    </font>
    <font>
      <sz val="11"/>
      <color theme="0" tint="-0.34998626667073579"/>
      <name val="Calibri"/>
      <family val="2"/>
      <scheme val="minor"/>
    </font>
    <font>
      <b/>
      <sz val="11"/>
      <color theme="0" tint="-0.34998626667073579"/>
      <name val="Calibri"/>
      <family val="2"/>
    </font>
    <font>
      <b/>
      <sz val="11"/>
      <color theme="0" tint="-0.34998626667073579"/>
      <name val="Calibri"/>
      <family val="2"/>
      <scheme val="minor"/>
    </font>
    <font>
      <u/>
      <sz val="11"/>
      <color theme="10"/>
      <name val="Calibri"/>
      <family val="2"/>
      <scheme val="minor"/>
    </font>
    <font>
      <sz val="11"/>
      <name val="Calibri"/>
      <family val="2"/>
    </font>
  </fonts>
  <fills count="4">
    <fill>
      <patternFill patternType="none"/>
    </fill>
    <fill>
      <patternFill patternType="gray125"/>
    </fill>
    <fill>
      <patternFill patternType="solid">
        <fgColor rgb="FFFFFF00"/>
        <bgColor indexed="64"/>
      </patternFill>
    </fill>
    <fill>
      <patternFill patternType="solid">
        <fgColor rgb="FFF5F5F5"/>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s>
  <cellStyleXfs count="2">
    <xf numFmtId="0" fontId="0" fillId="0" borderId="0"/>
    <xf numFmtId="0" fontId="10" fillId="0" borderId="0" applyNumberFormat="0" applyFill="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64" fontId="0" fillId="0" borderId="0" xfId="0" applyNumberFormat="1"/>
    <xf numFmtId="0" fontId="2" fillId="2" borderId="0" xfId="0" applyFont="1" applyFill="1"/>
    <xf numFmtId="0" fontId="0" fillId="2" borderId="0" xfId="0" applyFill="1"/>
    <xf numFmtId="14" fontId="0" fillId="2" borderId="0" xfId="0" applyNumberFormat="1" applyFill="1"/>
    <xf numFmtId="14" fontId="2" fillId="2" borderId="0" xfId="0" applyNumberFormat="1" applyFont="1" applyFill="1"/>
    <xf numFmtId="0" fontId="1" fillId="0" borderId="1" xfId="0" applyFont="1" applyBorder="1" applyAlignment="1">
      <alignment horizontal="left" vertical="top" wrapText="1"/>
    </xf>
    <xf numFmtId="0" fontId="0" fillId="0" borderId="0" xfId="0" applyAlignment="1">
      <alignment horizontal="left" vertical="top" wrapText="1"/>
    </xf>
    <xf numFmtId="14" fontId="0" fillId="0" borderId="0" xfId="0" applyNumberFormat="1" applyAlignment="1">
      <alignment horizontal="left" vertical="top" wrapText="1"/>
    </xf>
    <xf numFmtId="0" fontId="5" fillId="3" borderId="2" xfId="0" applyFont="1" applyFill="1" applyBorder="1" applyAlignment="1">
      <alignment horizontal="center" vertical="center" wrapText="1"/>
    </xf>
    <xf numFmtId="0" fontId="6" fillId="0" borderId="2" xfId="0" applyFont="1" applyBorder="1" applyAlignment="1">
      <alignment vertical="center" wrapText="1"/>
    </xf>
    <xf numFmtId="0" fontId="5" fillId="0" borderId="2" xfId="0" applyFont="1" applyBorder="1" applyAlignment="1">
      <alignment vertical="center"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3" borderId="2" xfId="0" applyFont="1" applyFill="1" applyBorder="1" applyAlignment="1">
      <alignment horizontal="left" vertical="top" wrapText="1"/>
    </xf>
    <xf numFmtId="0" fontId="6" fillId="0" borderId="2" xfId="0" applyFont="1" applyBorder="1" applyAlignment="1">
      <alignment horizontal="left" vertical="top" wrapText="1"/>
    </xf>
    <xf numFmtId="0" fontId="5" fillId="0" borderId="2" xfId="0" applyFont="1" applyBorder="1" applyAlignment="1">
      <alignment horizontal="left" vertical="top" wrapText="1"/>
    </xf>
    <xf numFmtId="0" fontId="8" fillId="0" borderId="1" xfId="0" applyFont="1" applyBorder="1" applyAlignment="1">
      <alignment horizontal="center" vertical="top"/>
    </xf>
    <xf numFmtId="0" fontId="7" fillId="0" borderId="0" xfId="0" applyFont="1"/>
    <xf numFmtId="0" fontId="9" fillId="2" borderId="0" xfId="0" applyFont="1" applyFill="1"/>
    <xf numFmtId="0" fontId="10" fillId="0" borderId="0" xfId="1" applyAlignment="1">
      <alignment horizontal="left" vertical="top"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3" fillId="0" borderId="0" xfId="0" applyFont="1"/>
    <xf numFmtId="0" fontId="0" fillId="0" borderId="0" xfId="0" applyAlignment="1">
      <alignment horizontal="left" vertical="top"/>
    </xf>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s://countycare.com/wp-content/uploads/2025-HEDIS-Coding-Guide_3.28.25.pdf" TargetMode="External"/><Relationship Id="rId2" Type="http://schemas.openxmlformats.org/officeDocument/2006/relationships/hyperlink" Target="https://www.hopkinsmedicine.org/-/media/johns-hopkins-health-plans/documents/2025-hedis-quality-measures-tip-sheet.pdf" TargetMode="External"/><Relationship Id="rId1" Type="http://schemas.openxmlformats.org/officeDocument/2006/relationships/hyperlink" Target="https://files.providernews.anthem.com/5853/MULTI-BC-CR-075425-24-CPN74734-Breast-Cancer-Screening-%28BCS-E%29-2025-CR_FIN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workbookViewId="0">
      <pane ySplit="1" topLeftCell="A2" activePane="bottomLeft" state="frozen"/>
      <selection pane="bottomLeft" activeCell="H25" sqref="H25"/>
    </sheetView>
  </sheetViews>
  <sheetFormatPr defaultRowHeight="14.5" x14ac:dyDescent="0.35"/>
  <cols>
    <col min="1" max="1" width="9.81640625" bestFit="1" customWidth="1"/>
    <col min="2" max="2" width="32.1796875" customWidth="1"/>
    <col min="3" max="3" width="21.36328125" customWidth="1"/>
    <col min="4" max="4" width="10.90625" customWidth="1"/>
    <col min="5" max="5" width="14.90625" customWidth="1"/>
    <col min="6" max="6" width="5.81640625" bestFit="1" customWidth="1"/>
    <col min="7" max="7" width="14.26953125" bestFit="1" customWidth="1"/>
    <col min="8" max="8" width="15.54296875" customWidth="1"/>
    <col min="9" max="9" width="17.81640625" style="20" customWidth="1"/>
  </cols>
  <sheetData>
    <row r="1" spans="1:9" x14ac:dyDescent="0.35">
      <c r="A1" s="1" t="s">
        <v>0</v>
      </c>
      <c r="B1" s="1" t="s">
        <v>1</v>
      </c>
      <c r="C1" s="1" t="s">
        <v>2</v>
      </c>
      <c r="D1" s="1" t="s">
        <v>3</v>
      </c>
      <c r="E1" s="1" t="s">
        <v>4</v>
      </c>
      <c r="F1" s="1" t="s">
        <v>5</v>
      </c>
      <c r="G1" s="1" t="s">
        <v>6</v>
      </c>
      <c r="H1" s="1" t="s">
        <v>7</v>
      </c>
      <c r="I1" s="19" t="s">
        <v>8</v>
      </c>
    </row>
    <row r="2" spans="1:9" x14ac:dyDescent="0.35">
      <c r="A2" t="s">
        <v>9</v>
      </c>
      <c r="B2" t="s">
        <v>10</v>
      </c>
      <c r="C2" s="3">
        <v>33420</v>
      </c>
      <c r="D2" t="s">
        <v>11</v>
      </c>
      <c r="E2" t="s">
        <v>12</v>
      </c>
      <c r="F2" t="s">
        <v>13</v>
      </c>
      <c r="G2" s="2">
        <v>46023</v>
      </c>
      <c r="H2" s="2">
        <v>46387</v>
      </c>
      <c r="I2" s="20" t="str">
        <f ca="1">DATEDIF(C2, TODAY(), "Y") &amp; " Years, " &amp; DATEDIF(C2, TODAY(), "YM") &amp; " Months"</f>
        <v>34 Years, 8 Months</v>
      </c>
    </row>
    <row r="3" spans="1:9" x14ac:dyDescent="0.35">
      <c r="A3" t="s">
        <v>14</v>
      </c>
      <c r="B3" t="s">
        <v>15</v>
      </c>
      <c r="C3" s="2">
        <v>30932</v>
      </c>
      <c r="D3" t="s">
        <v>11</v>
      </c>
      <c r="E3" t="s">
        <v>16</v>
      </c>
      <c r="F3" t="s">
        <v>17</v>
      </c>
      <c r="G3" s="2">
        <v>46023</v>
      </c>
      <c r="H3" s="2">
        <v>46387</v>
      </c>
      <c r="I3" s="20" t="str">
        <f t="shared" ref="I3:I31" ca="1" si="0">DATEDIF(C3, TODAY(), "Y") &amp; " Years, " &amp; DATEDIF(C3, TODAY(), "YM") &amp; " Months"</f>
        <v>41 Years, 6 Months</v>
      </c>
    </row>
    <row r="4" spans="1:9" x14ac:dyDescent="0.35">
      <c r="A4" t="s">
        <v>18</v>
      </c>
      <c r="B4" t="s">
        <v>19</v>
      </c>
      <c r="C4" s="2">
        <v>28581</v>
      </c>
      <c r="D4" t="s">
        <v>11</v>
      </c>
      <c r="E4" t="s">
        <v>20</v>
      </c>
      <c r="F4" t="s">
        <v>17</v>
      </c>
      <c r="G4" s="2">
        <v>46023</v>
      </c>
      <c r="H4" s="2">
        <v>46387</v>
      </c>
      <c r="I4" s="20" t="str">
        <f t="shared" ca="1" si="0"/>
        <v>47 Years, 11 Months</v>
      </c>
    </row>
    <row r="5" spans="1:9" x14ac:dyDescent="0.35">
      <c r="A5" t="s">
        <v>21</v>
      </c>
      <c r="B5" t="s">
        <v>22</v>
      </c>
      <c r="C5" s="2">
        <v>20692</v>
      </c>
      <c r="D5" t="s">
        <v>23</v>
      </c>
      <c r="E5" t="s">
        <v>24</v>
      </c>
      <c r="F5" t="s">
        <v>25</v>
      </c>
      <c r="G5" s="2">
        <v>46023</v>
      </c>
      <c r="H5" s="2">
        <v>46387</v>
      </c>
      <c r="I5" s="20" t="str">
        <f t="shared" ca="1" si="0"/>
        <v>69 Years, 7 Months</v>
      </c>
    </row>
    <row r="6" spans="1:9" x14ac:dyDescent="0.35">
      <c r="A6" t="s">
        <v>26</v>
      </c>
      <c r="B6" t="s">
        <v>27</v>
      </c>
      <c r="C6" s="2">
        <v>24630</v>
      </c>
      <c r="D6" t="s">
        <v>11</v>
      </c>
      <c r="E6" t="s">
        <v>28</v>
      </c>
      <c r="F6" t="s">
        <v>29</v>
      </c>
      <c r="G6" s="2">
        <v>46023</v>
      </c>
      <c r="H6" s="2">
        <v>46387</v>
      </c>
      <c r="I6" s="20" t="str">
        <f t="shared" ca="1" si="0"/>
        <v>58 Years, 9 Months</v>
      </c>
    </row>
    <row r="7" spans="1:9" x14ac:dyDescent="0.35">
      <c r="A7" t="s">
        <v>30</v>
      </c>
      <c r="B7" t="s">
        <v>31</v>
      </c>
      <c r="C7" s="2">
        <v>22976</v>
      </c>
      <c r="D7" t="s">
        <v>11</v>
      </c>
      <c r="E7" t="s">
        <v>16</v>
      </c>
      <c r="F7" t="s">
        <v>32</v>
      </c>
      <c r="G7" s="2">
        <v>46023</v>
      </c>
      <c r="H7" s="2">
        <v>46387</v>
      </c>
      <c r="I7" s="20" t="str">
        <f t="shared" ca="1" si="0"/>
        <v>63 Years, 4 Months</v>
      </c>
    </row>
    <row r="8" spans="1:9" x14ac:dyDescent="0.35">
      <c r="A8" t="s">
        <v>33</v>
      </c>
      <c r="B8" t="s">
        <v>34</v>
      </c>
      <c r="C8" s="2">
        <v>33159</v>
      </c>
      <c r="D8" t="s">
        <v>23</v>
      </c>
      <c r="E8" t="s">
        <v>35</v>
      </c>
      <c r="F8" t="s">
        <v>36</v>
      </c>
      <c r="G8" s="2">
        <v>46023</v>
      </c>
      <c r="H8" s="2">
        <v>46387</v>
      </c>
      <c r="I8" s="20" t="str">
        <f t="shared" ca="1" si="0"/>
        <v>35 Years, 5 Months</v>
      </c>
    </row>
    <row r="9" spans="1:9" x14ac:dyDescent="0.35">
      <c r="A9" t="s">
        <v>37</v>
      </c>
      <c r="B9" t="s">
        <v>38</v>
      </c>
      <c r="C9" s="2">
        <v>23731</v>
      </c>
      <c r="D9" t="s">
        <v>23</v>
      </c>
      <c r="E9" t="s">
        <v>39</v>
      </c>
      <c r="F9" t="s">
        <v>40</v>
      </c>
      <c r="G9" s="2">
        <v>46023</v>
      </c>
      <c r="H9" s="2">
        <v>46387</v>
      </c>
      <c r="I9" s="20" t="str">
        <f t="shared" ca="1" si="0"/>
        <v>61 Years, 3 Months</v>
      </c>
    </row>
    <row r="10" spans="1:9" x14ac:dyDescent="0.35">
      <c r="A10" t="s">
        <v>41</v>
      </c>
      <c r="B10" t="s">
        <v>42</v>
      </c>
      <c r="C10" s="2">
        <v>19871</v>
      </c>
      <c r="D10" t="s">
        <v>23</v>
      </c>
      <c r="E10" t="s">
        <v>43</v>
      </c>
      <c r="F10" t="s">
        <v>32</v>
      </c>
      <c r="G10" s="2">
        <v>46023</v>
      </c>
      <c r="H10" s="2">
        <v>46387</v>
      </c>
      <c r="I10" s="20" t="str">
        <f t="shared" ca="1" si="0"/>
        <v>71 Years, 10 Months</v>
      </c>
    </row>
    <row r="11" spans="1:9" x14ac:dyDescent="0.35">
      <c r="A11" t="s">
        <v>44</v>
      </c>
      <c r="B11" t="s">
        <v>45</v>
      </c>
      <c r="C11" s="2">
        <v>19271</v>
      </c>
      <c r="D11" t="s">
        <v>23</v>
      </c>
      <c r="E11" t="s">
        <v>46</v>
      </c>
      <c r="F11" t="s">
        <v>47</v>
      </c>
      <c r="G11" s="2">
        <v>46023</v>
      </c>
      <c r="H11" s="2">
        <v>46387</v>
      </c>
      <c r="I11" s="20" t="str">
        <f ca="1">DATEDIF(C11, TODAY(), "Y") &amp; " Years, " &amp; DATEDIF(C11, TODAY(), "YM") &amp; " Months"</f>
        <v>73 Years, 5 Months</v>
      </c>
    </row>
    <row r="12" spans="1:9" x14ac:dyDescent="0.35">
      <c r="A12" s="4" t="s">
        <v>48</v>
      </c>
      <c r="B12" t="s">
        <v>49</v>
      </c>
      <c r="C12" s="6">
        <v>30622</v>
      </c>
      <c r="D12" s="5" t="s">
        <v>23</v>
      </c>
      <c r="E12" t="s">
        <v>50</v>
      </c>
      <c r="F12" t="s">
        <v>29</v>
      </c>
      <c r="G12" s="2">
        <v>46023</v>
      </c>
      <c r="H12" s="2">
        <v>46387</v>
      </c>
      <c r="I12" s="21" t="str">
        <f t="shared" ca="1" si="0"/>
        <v>42 Years, 4 Months</v>
      </c>
    </row>
    <row r="13" spans="1:9" x14ac:dyDescent="0.35">
      <c r="A13" t="s">
        <v>51</v>
      </c>
      <c r="B13" t="s">
        <v>52</v>
      </c>
      <c r="C13" s="2">
        <v>31128</v>
      </c>
      <c r="D13" t="s">
        <v>23</v>
      </c>
      <c r="E13" t="s">
        <v>20</v>
      </c>
      <c r="F13" t="s">
        <v>53</v>
      </c>
      <c r="G13" s="2">
        <v>46023</v>
      </c>
      <c r="H13" s="2">
        <v>46387</v>
      </c>
      <c r="I13" s="20" t="str">
        <f t="shared" ca="1" si="0"/>
        <v>41 Years, 0 Months</v>
      </c>
    </row>
    <row r="14" spans="1:9" x14ac:dyDescent="0.35">
      <c r="A14" t="s">
        <v>54</v>
      </c>
      <c r="B14" t="s">
        <v>55</v>
      </c>
      <c r="C14" s="2">
        <v>32939</v>
      </c>
      <c r="D14" t="s">
        <v>11</v>
      </c>
      <c r="E14" t="s">
        <v>20</v>
      </c>
      <c r="F14" t="s">
        <v>13</v>
      </c>
      <c r="G14" s="2">
        <v>46023</v>
      </c>
      <c r="H14" s="2">
        <v>46387</v>
      </c>
      <c r="I14" s="20" t="str">
        <f t="shared" ca="1" si="0"/>
        <v>36 Years, 0 Months</v>
      </c>
    </row>
    <row r="15" spans="1:9" x14ac:dyDescent="0.35">
      <c r="A15" t="s">
        <v>56</v>
      </c>
      <c r="B15" t="s">
        <v>57</v>
      </c>
      <c r="C15" s="2">
        <v>31634</v>
      </c>
      <c r="D15" t="s">
        <v>23</v>
      </c>
      <c r="E15" t="s">
        <v>20</v>
      </c>
      <c r="F15" t="s">
        <v>53</v>
      </c>
      <c r="G15" s="2">
        <v>46023</v>
      </c>
      <c r="H15" s="2">
        <v>46387</v>
      </c>
      <c r="I15" s="20" t="str">
        <f t="shared" ca="1" si="0"/>
        <v>39 Years, 7 Months</v>
      </c>
    </row>
    <row r="16" spans="1:9" x14ac:dyDescent="0.35">
      <c r="A16" t="s">
        <v>58</v>
      </c>
      <c r="B16" t="s">
        <v>59</v>
      </c>
      <c r="C16" s="2">
        <v>26421</v>
      </c>
      <c r="D16" t="s">
        <v>23</v>
      </c>
      <c r="E16" t="s">
        <v>60</v>
      </c>
      <c r="F16" t="s">
        <v>36</v>
      </c>
      <c r="G16" s="2">
        <v>46023</v>
      </c>
      <c r="H16" s="2">
        <v>46387</v>
      </c>
      <c r="I16" s="20" t="str">
        <f t="shared" ca="1" si="0"/>
        <v>53 Years, 10 Months</v>
      </c>
    </row>
    <row r="17" spans="1:9" x14ac:dyDescent="0.35">
      <c r="A17" t="s">
        <v>61</v>
      </c>
      <c r="B17" t="s">
        <v>62</v>
      </c>
      <c r="C17" s="2">
        <v>35562</v>
      </c>
      <c r="D17" t="s">
        <v>23</v>
      </c>
      <c r="E17" t="s">
        <v>28</v>
      </c>
      <c r="F17" t="s">
        <v>47</v>
      </c>
      <c r="G17" s="2">
        <v>46023</v>
      </c>
      <c r="H17" s="2">
        <v>46387</v>
      </c>
      <c r="I17" s="20" t="str">
        <f t="shared" ca="1" si="0"/>
        <v>28 Years, 10 Months</v>
      </c>
    </row>
    <row r="18" spans="1:9" x14ac:dyDescent="0.35">
      <c r="A18" t="s">
        <v>63</v>
      </c>
      <c r="B18" t="s">
        <v>64</v>
      </c>
      <c r="C18" s="2">
        <v>26097</v>
      </c>
      <c r="D18" t="s">
        <v>23</v>
      </c>
      <c r="E18" t="s">
        <v>39</v>
      </c>
      <c r="F18" t="s">
        <v>25</v>
      </c>
      <c r="G18" s="2">
        <v>46023</v>
      </c>
      <c r="H18" s="2">
        <v>46387</v>
      </c>
      <c r="I18" s="20" t="str">
        <f t="shared" ca="1" si="0"/>
        <v>54 Years, 9 Months</v>
      </c>
    </row>
    <row r="19" spans="1:9" x14ac:dyDescent="0.35">
      <c r="A19" t="s">
        <v>65</v>
      </c>
      <c r="B19" t="s">
        <v>66</v>
      </c>
      <c r="C19" s="2">
        <v>37249</v>
      </c>
      <c r="D19" t="s">
        <v>23</v>
      </c>
      <c r="E19" t="s">
        <v>67</v>
      </c>
      <c r="F19" t="s">
        <v>53</v>
      </c>
      <c r="G19" s="2">
        <v>46023</v>
      </c>
      <c r="H19" s="2">
        <v>46387</v>
      </c>
      <c r="I19" s="20" t="str">
        <f t="shared" ca="1" si="0"/>
        <v>24 Years, 3 Months</v>
      </c>
    </row>
    <row r="20" spans="1:9" x14ac:dyDescent="0.35">
      <c r="A20" t="s">
        <v>68</v>
      </c>
      <c r="B20" t="s">
        <v>69</v>
      </c>
      <c r="C20" s="2">
        <v>19695</v>
      </c>
      <c r="D20" t="s">
        <v>23</v>
      </c>
      <c r="E20" t="s">
        <v>39</v>
      </c>
      <c r="F20" t="s">
        <v>25</v>
      </c>
      <c r="G20" s="2">
        <v>46023</v>
      </c>
      <c r="H20" s="2">
        <v>46387</v>
      </c>
      <c r="I20" s="20" t="str">
        <f t="shared" ca="1" si="0"/>
        <v>72 Years, 3 Months</v>
      </c>
    </row>
    <row r="21" spans="1:9" x14ac:dyDescent="0.35">
      <c r="A21" t="s">
        <v>70</v>
      </c>
      <c r="B21" t="s">
        <v>71</v>
      </c>
      <c r="C21" s="2">
        <v>35371</v>
      </c>
      <c r="D21" t="s">
        <v>23</v>
      </c>
      <c r="E21" t="s">
        <v>72</v>
      </c>
      <c r="F21" t="s">
        <v>47</v>
      </c>
      <c r="G21" s="2">
        <v>46023</v>
      </c>
      <c r="H21" s="2">
        <v>46387</v>
      </c>
      <c r="I21" s="20" t="str">
        <f t="shared" ca="1" si="0"/>
        <v>29 Years, 4 Months</v>
      </c>
    </row>
    <row r="22" spans="1:9" x14ac:dyDescent="0.35">
      <c r="A22" t="s">
        <v>73</v>
      </c>
      <c r="B22" t="s">
        <v>74</v>
      </c>
      <c r="C22" s="2">
        <v>32356</v>
      </c>
      <c r="D22" t="s">
        <v>23</v>
      </c>
      <c r="E22" t="s">
        <v>20</v>
      </c>
      <c r="F22" t="s">
        <v>53</v>
      </c>
      <c r="G22" s="2">
        <v>46023</v>
      </c>
      <c r="H22" s="2">
        <v>46387</v>
      </c>
      <c r="I22" s="20" t="str">
        <f t="shared" ca="1" si="0"/>
        <v>37 Years, 7 Months</v>
      </c>
    </row>
    <row r="23" spans="1:9" x14ac:dyDescent="0.35">
      <c r="A23" t="s">
        <v>75</v>
      </c>
      <c r="B23" t="s">
        <v>76</v>
      </c>
      <c r="C23" s="2">
        <v>32265</v>
      </c>
      <c r="D23" t="s">
        <v>11</v>
      </c>
      <c r="E23" t="s">
        <v>50</v>
      </c>
      <c r="F23" t="s">
        <v>13</v>
      </c>
      <c r="G23" s="2">
        <v>46023</v>
      </c>
      <c r="H23" s="2">
        <v>46387</v>
      </c>
      <c r="I23" s="20" t="str">
        <f t="shared" ca="1" si="0"/>
        <v>37 Years, 10 Months</v>
      </c>
    </row>
    <row r="24" spans="1:9" x14ac:dyDescent="0.35">
      <c r="A24" t="s">
        <v>77</v>
      </c>
      <c r="B24" t="s">
        <v>78</v>
      </c>
      <c r="C24" s="2">
        <v>27658</v>
      </c>
      <c r="D24" t="s">
        <v>11</v>
      </c>
      <c r="E24" t="s">
        <v>39</v>
      </c>
      <c r="F24" t="s">
        <v>79</v>
      </c>
      <c r="G24" s="2">
        <v>46023</v>
      </c>
      <c r="H24" s="2">
        <v>46387</v>
      </c>
      <c r="I24" s="20" t="str">
        <f t="shared" ca="1" si="0"/>
        <v>50 Years, 6 Months</v>
      </c>
    </row>
    <row r="25" spans="1:9" x14ac:dyDescent="0.35">
      <c r="A25" t="s">
        <v>80</v>
      </c>
      <c r="B25" t="s">
        <v>81</v>
      </c>
      <c r="C25" s="2">
        <v>24205</v>
      </c>
      <c r="D25" t="s">
        <v>11</v>
      </c>
      <c r="E25" t="s">
        <v>50</v>
      </c>
      <c r="F25" t="s">
        <v>82</v>
      </c>
      <c r="G25" s="2">
        <v>46023</v>
      </c>
      <c r="H25" s="2">
        <v>46387</v>
      </c>
      <c r="I25" s="20" t="str">
        <f t="shared" ca="1" si="0"/>
        <v>59 Years, 11 Months</v>
      </c>
    </row>
    <row r="26" spans="1:9" x14ac:dyDescent="0.35">
      <c r="A26" t="s">
        <v>83</v>
      </c>
      <c r="B26" t="s">
        <v>84</v>
      </c>
      <c r="C26" s="2">
        <v>24723</v>
      </c>
      <c r="D26" t="s">
        <v>23</v>
      </c>
      <c r="E26" t="s">
        <v>72</v>
      </c>
      <c r="F26" t="s">
        <v>85</v>
      </c>
      <c r="G26" s="2">
        <v>46023</v>
      </c>
      <c r="H26" s="2">
        <v>46387</v>
      </c>
      <c r="I26" s="20" t="str">
        <f t="shared" ca="1" si="0"/>
        <v>58 Years, 6 Months</v>
      </c>
    </row>
    <row r="27" spans="1:9" x14ac:dyDescent="0.35">
      <c r="A27" t="s">
        <v>86</v>
      </c>
      <c r="B27" t="s">
        <v>87</v>
      </c>
      <c r="C27" s="2">
        <v>18404</v>
      </c>
      <c r="D27" t="s">
        <v>23</v>
      </c>
      <c r="E27" t="s">
        <v>43</v>
      </c>
      <c r="F27" t="s">
        <v>32</v>
      </c>
      <c r="G27" s="2">
        <v>46023</v>
      </c>
      <c r="H27" s="2">
        <v>46387</v>
      </c>
      <c r="I27" s="20" t="str">
        <f t="shared" ca="1" si="0"/>
        <v>75 Years, 10 Months</v>
      </c>
    </row>
    <row r="28" spans="1:9" x14ac:dyDescent="0.35">
      <c r="A28" t="s">
        <v>88</v>
      </c>
      <c r="B28" t="s">
        <v>89</v>
      </c>
      <c r="C28" s="2">
        <v>23591</v>
      </c>
      <c r="D28" t="s">
        <v>23</v>
      </c>
      <c r="E28" t="s">
        <v>60</v>
      </c>
      <c r="F28" t="s">
        <v>53</v>
      </c>
      <c r="G28" s="2">
        <v>46023</v>
      </c>
      <c r="H28" s="2">
        <v>46387</v>
      </c>
      <c r="I28" s="20" t="str">
        <f t="shared" ca="1" si="0"/>
        <v>61 Years, 7 Months</v>
      </c>
    </row>
    <row r="29" spans="1:9" x14ac:dyDescent="0.35">
      <c r="A29" t="s">
        <v>90</v>
      </c>
      <c r="B29" t="s">
        <v>91</v>
      </c>
      <c r="C29" s="2">
        <v>19213</v>
      </c>
      <c r="D29" t="s">
        <v>23</v>
      </c>
      <c r="E29" t="s">
        <v>24</v>
      </c>
      <c r="F29" t="s">
        <v>47</v>
      </c>
      <c r="G29" s="2">
        <v>46023</v>
      </c>
      <c r="H29" s="2">
        <v>46387</v>
      </c>
      <c r="I29" s="20" t="str">
        <f t="shared" ca="1" si="0"/>
        <v>73 Years, 7 Months</v>
      </c>
    </row>
    <row r="30" spans="1:9" x14ac:dyDescent="0.35">
      <c r="A30" t="s">
        <v>92</v>
      </c>
      <c r="B30" t="s">
        <v>93</v>
      </c>
      <c r="C30" s="2">
        <v>27968</v>
      </c>
      <c r="D30" t="s">
        <v>23</v>
      </c>
      <c r="E30" t="s">
        <v>94</v>
      </c>
      <c r="F30" t="s">
        <v>95</v>
      </c>
      <c r="G30" s="2">
        <v>46023</v>
      </c>
      <c r="H30" s="2">
        <v>46387</v>
      </c>
      <c r="I30" s="20" t="str">
        <f t="shared" ca="1" si="0"/>
        <v>49 Years, 8 Months</v>
      </c>
    </row>
    <row r="31" spans="1:9" x14ac:dyDescent="0.35">
      <c r="A31" t="s">
        <v>96</v>
      </c>
      <c r="B31" t="s">
        <v>97</v>
      </c>
      <c r="C31" s="2">
        <v>19471</v>
      </c>
      <c r="D31" t="s">
        <v>11</v>
      </c>
      <c r="E31" t="s">
        <v>67</v>
      </c>
      <c r="F31" t="s">
        <v>29</v>
      </c>
      <c r="G31" s="2">
        <v>46023</v>
      </c>
      <c r="H31" s="2">
        <v>46387</v>
      </c>
      <c r="I31" s="20" t="str">
        <f t="shared" ca="1" si="0"/>
        <v>72 Years, 11 Months</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4"/>
  <sheetViews>
    <sheetView topLeftCell="G1" workbookViewId="0">
      <pane ySplit="1" topLeftCell="A2" activePane="bottomLeft" state="frozen"/>
      <selection pane="bottomLeft" activeCell="L7" sqref="L7:O10"/>
    </sheetView>
  </sheetViews>
  <sheetFormatPr defaultRowHeight="14.5" x14ac:dyDescent="0.35"/>
  <cols>
    <col min="1" max="1" width="21.90625" customWidth="1"/>
    <col min="2" max="2" width="13" customWidth="1"/>
    <col min="3" max="3" width="10.90625" customWidth="1"/>
    <col min="4" max="4" width="8.26953125" bestFit="1" customWidth="1"/>
    <col min="5" max="5" width="11.6328125" customWidth="1"/>
    <col min="6" max="6" width="10.54296875" customWidth="1"/>
    <col min="7" max="7" width="12.6328125" customWidth="1"/>
    <col min="12" max="12" width="16.453125" bestFit="1" customWidth="1"/>
    <col min="13" max="13" width="36.90625" customWidth="1"/>
    <col min="14" max="14" width="45.1796875" customWidth="1"/>
  </cols>
  <sheetData>
    <row r="1" spans="1:15" s="9" customFormat="1" ht="15" customHeight="1" x14ac:dyDescent="0.35">
      <c r="A1" s="8" t="s">
        <v>98</v>
      </c>
      <c r="B1" s="8" t="s">
        <v>0</v>
      </c>
      <c r="C1" s="8" t="s">
        <v>99</v>
      </c>
      <c r="D1" s="8" t="s">
        <v>100</v>
      </c>
      <c r="E1" s="8" t="s">
        <v>101</v>
      </c>
      <c r="F1" s="8" t="s">
        <v>102</v>
      </c>
      <c r="G1" s="8" t="s">
        <v>103</v>
      </c>
    </row>
    <row r="2" spans="1:15" s="9" customFormat="1" ht="15" customHeight="1" x14ac:dyDescent="0.35">
      <c r="A2" s="9" t="s">
        <v>104</v>
      </c>
      <c r="B2" s="9" t="s">
        <v>9</v>
      </c>
      <c r="C2" s="9" t="s">
        <v>72</v>
      </c>
      <c r="D2" s="9">
        <v>83036</v>
      </c>
      <c r="E2" s="9" t="s">
        <v>105</v>
      </c>
      <c r="F2" s="10">
        <v>46106</v>
      </c>
      <c r="G2" s="9" t="s">
        <v>106</v>
      </c>
      <c r="L2" s="15" t="s">
        <v>107</v>
      </c>
      <c r="M2" s="14"/>
      <c r="N2" s="14"/>
      <c r="O2" s="14"/>
    </row>
    <row r="3" spans="1:15" s="9" customFormat="1" ht="15" customHeight="1" x14ac:dyDescent="0.35">
      <c r="A3" s="9" t="s">
        <v>108</v>
      </c>
      <c r="B3" s="9" t="s">
        <v>9</v>
      </c>
      <c r="C3" s="9" t="s">
        <v>50</v>
      </c>
      <c r="D3" s="9">
        <v>80053</v>
      </c>
      <c r="E3" s="9" t="s">
        <v>109</v>
      </c>
      <c r="F3" s="10">
        <v>46092</v>
      </c>
      <c r="G3" s="9" t="s">
        <v>106</v>
      </c>
      <c r="L3" s="14">
        <v>77063</v>
      </c>
      <c r="M3" s="14" t="s">
        <v>110</v>
      </c>
      <c r="O3" s="14" t="s">
        <v>111</v>
      </c>
    </row>
    <row r="4" spans="1:15" s="9" customFormat="1" ht="15" customHeight="1" x14ac:dyDescent="0.35">
      <c r="A4" s="9" t="s">
        <v>112</v>
      </c>
      <c r="B4" s="9" t="s">
        <v>9</v>
      </c>
      <c r="C4" s="9" t="s">
        <v>94</v>
      </c>
      <c r="D4" s="9">
        <v>80053</v>
      </c>
      <c r="E4" s="9" t="s">
        <v>113</v>
      </c>
      <c r="F4" s="10">
        <v>46141</v>
      </c>
      <c r="G4" s="9" t="s">
        <v>106</v>
      </c>
      <c r="L4" s="14">
        <v>77067</v>
      </c>
      <c r="M4" s="14" t="s">
        <v>114</v>
      </c>
      <c r="N4" s="14" t="s">
        <v>115</v>
      </c>
      <c r="O4" s="14"/>
    </row>
    <row r="5" spans="1:15" s="9" customFormat="1" ht="15" customHeight="1" x14ac:dyDescent="0.35">
      <c r="A5" s="9" t="s">
        <v>116</v>
      </c>
      <c r="B5" s="9" t="s">
        <v>14</v>
      </c>
      <c r="C5" s="9" t="s">
        <v>16</v>
      </c>
      <c r="D5" s="9">
        <v>83036</v>
      </c>
      <c r="E5" s="9" t="s">
        <v>113</v>
      </c>
      <c r="F5" s="10">
        <v>46112</v>
      </c>
      <c r="G5" s="9" t="s">
        <v>106</v>
      </c>
      <c r="L5" s="14" t="s">
        <v>117</v>
      </c>
      <c r="M5" s="14" t="s">
        <v>118</v>
      </c>
      <c r="N5" s="14" t="s">
        <v>119</v>
      </c>
      <c r="O5" s="14"/>
    </row>
    <row r="6" spans="1:15" s="9" customFormat="1" ht="15" customHeight="1" thickBot="1" x14ac:dyDescent="0.4">
      <c r="A6" s="9" t="s">
        <v>120</v>
      </c>
      <c r="B6" s="9" t="s">
        <v>14</v>
      </c>
      <c r="C6" s="9" t="s">
        <v>121</v>
      </c>
      <c r="D6" s="9">
        <v>99214</v>
      </c>
      <c r="E6" s="9" t="s">
        <v>122</v>
      </c>
      <c r="F6" s="10">
        <v>46043</v>
      </c>
      <c r="G6" s="9" t="s">
        <v>106</v>
      </c>
      <c r="L6" s="14"/>
      <c r="M6" s="14"/>
      <c r="N6" s="14"/>
      <c r="O6" s="14"/>
    </row>
    <row r="7" spans="1:15" s="9" customFormat="1" ht="15" customHeight="1" thickBot="1" x14ac:dyDescent="0.4">
      <c r="A7" s="9" t="s">
        <v>123</v>
      </c>
      <c r="B7" s="9" t="s">
        <v>18</v>
      </c>
      <c r="C7" s="9" t="s">
        <v>35</v>
      </c>
      <c r="D7" s="9">
        <v>99214</v>
      </c>
      <c r="E7" s="9" t="s">
        <v>109</v>
      </c>
      <c r="F7" s="10">
        <v>46046</v>
      </c>
      <c r="G7" s="9" t="s">
        <v>106</v>
      </c>
      <c r="L7" s="11" t="s">
        <v>124</v>
      </c>
      <c r="M7" s="11" t="s">
        <v>125</v>
      </c>
      <c r="N7" s="11" t="s">
        <v>126</v>
      </c>
      <c r="O7" s="11" t="s">
        <v>127</v>
      </c>
    </row>
    <row r="8" spans="1:15" s="9" customFormat="1" ht="15" customHeight="1" thickBot="1" x14ac:dyDescent="0.4">
      <c r="A8" s="9" t="s">
        <v>128</v>
      </c>
      <c r="B8" s="9" t="s">
        <v>18</v>
      </c>
      <c r="C8" s="9" t="s">
        <v>60</v>
      </c>
      <c r="D8" s="9">
        <v>83036</v>
      </c>
      <c r="E8" s="9" t="s">
        <v>113</v>
      </c>
      <c r="F8" s="10">
        <v>46119</v>
      </c>
      <c r="G8" s="9" t="s">
        <v>106</v>
      </c>
      <c r="L8" s="11">
        <v>77063</v>
      </c>
      <c r="M8" s="12" t="s">
        <v>129</v>
      </c>
      <c r="N8" s="12" t="s">
        <v>130</v>
      </c>
      <c r="O8" s="12" t="s">
        <v>131</v>
      </c>
    </row>
    <row r="9" spans="1:15" s="9" customFormat="1" ht="15" customHeight="1" thickBot="1" x14ac:dyDescent="0.4">
      <c r="A9" s="9" t="s">
        <v>132</v>
      </c>
      <c r="B9" s="9" t="s">
        <v>21</v>
      </c>
      <c r="C9" s="9" t="s">
        <v>133</v>
      </c>
      <c r="D9" s="9">
        <v>99213</v>
      </c>
      <c r="E9" s="9" t="s">
        <v>113</v>
      </c>
      <c r="F9" s="10">
        <v>46073</v>
      </c>
      <c r="G9" s="9" t="s">
        <v>106</v>
      </c>
      <c r="L9" s="11">
        <v>77067</v>
      </c>
      <c r="M9" s="12" t="s">
        <v>129</v>
      </c>
      <c r="N9" s="12" t="s">
        <v>134</v>
      </c>
      <c r="O9" s="12" t="s">
        <v>135</v>
      </c>
    </row>
    <row r="10" spans="1:15" s="9" customFormat="1" ht="15" customHeight="1" thickBot="1" x14ac:dyDescent="0.4">
      <c r="A10" s="9" t="s">
        <v>136</v>
      </c>
      <c r="B10" s="9" t="s">
        <v>21</v>
      </c>
      <c r="C10" s="9" t="s">
        <v>50</v>
      </c>
      <c r="D10" s="9">
        <v>88175</v>
      </c>
      <c r="E10" s="9" t="s">
        <v>105</v>
      </c>
      <c r="F10" s="10">
        <v>46089</v>
      </c>
      <c r="G10" s="9" t="s">
        <v>106</v>
      </c>
      <c r="L10" s="11" t="s">
        <v>117</v>
      </c>
      <c r="M10" s="13" t="s">
        <v>137</v>
      </c>
      <c r="N10" s="12" t="s">
        <v>134</v>
      </c>
      <c r="O10" s="12" t="s">
        <v>138</v>
      </c>
    </row>
    <row r="11" spans="1:15" s="9" customFormat="1" ht="15" customHeight="1" x14ac:dyDescent="0.35">
      <c r="A11" s="9" t="s">
        <v>139</v>
      </c>
      <c r="B11" s="9" t="s">
        <v>26</v>
      </c>
      <c r="C11" s="9" t="s">
        <v>50</v>
      </c>
      <c r="D11" s="9">
        <v>99213</v>
      </c>
      <c r="E11" s="9" t="s">
        <v>105</v>
      </c>
      <c r="F11" s="10">
        <v>46136</v>
      </c>
      <c r="G11" s="9" t="s">
        <v>106</v>
      </c>
    </row>
    <row r="12" spans="1:15" s="9" customFormat="1" ht="15" customHeight="1" x14ac:dyDescent="0.35">
      <c r="A12" s="9" t="s">
        <v>140</v>
      </c>
      <c r="B12" s="9" t="s">
        <v>30</v>
      </c>
      <c r="C12" s="9" t="s">
        <v>60</v>
      </c>
      <c r="D12" s="9">
        <v>99214</v>
      </c>
      <c r="E12" s="9" t="s">
        <v>122</v>
      </c>
      <c r="F12" s="10">
        <v>46044</v>
      </c>
      <c r="G12" s="9" t="s">
        <v>106</v>
      </c>
    </row>
    <row r="13" spans="1:15" s="9" customFormat="1" ht="15" customHeight="1" x14ac:dyDescent="0.35">
      <c r="A13" s="9" t="s">
        <v>141</v>
      </c>
      <c r="B13" s="9" t="s">
        <v>30</v>
      </c>
      <c r="C13" s="9" t="s">
        <v>94</v>
      </c>
      <c r="D13" s="9">
        <v>77067</v>
      </c>
      <c r="E13" s="9" t="s">
        <v>113</v>
      </c>
      <c r="F13" s="10">
        <v>46069</v>
      </c>
      <c r="G13" s="9" t="s">
        <v>106</v>
      </c>
    </row>
    <row r="14" spans="1:15" s="9" customFormat="1" ht="15" customHeight="1" x14ac:dyDescent="0.35">
      <c r="A14" s="9" t="s">
        <v>142</v>
      </c>
      <c r="B14" s="9" t="s">
        <v>30</v>
      </c>
      <c r="C14" s="9" t="s">
        <v>20</v>
      </c>
      <c r="D14" s="9">
        <v>99214</v>
      </c>
      <c r="E14" s="9" t="s">
        <v>105</v>
      </c>
      <c r="F14" s="10">
        <v>46060</v>
      </c>
      <c r="G14" s="9" t="s">
        <v>106</v>
      </c>
    </row>
    <row r="15" spans="1:15" s="9" customFormat="1" ht="15" customHeight="1" x14ac:dyDescent="0.35">
      <c r="A15" s="9" t="s">
        <v>143</v>
      </c>
      <c r="B15" s="9" t="s">
        <v>33</v>
      </c>
      <c r="C15" s="9" t="s">
        <v>24</v>
      </c>
      <c r="D15" s="9">
        <v>99213</v>
      </c>
      <c r="E15" s="9" t="s">
        <v>105</v>
      </c>
      <c r="F15" s="10">
        <v>46134</v>
      </c>
      <c r="G15" s="9" t="s">
        <v>106</v>
      </c>
    </row>
    <row r="16" spans="1:15" s="9" customFormat="1" ht="15" customHeight="1" x14ac:dyDescent="0.35">
      <c r="A16" s="9" t="s">
        <v>144</v>
      </c>
      <c r="B16" s="9" t="s">
        <v>33</v>
      </c>
      <c r="C16" s="9" t="s">
        <v>43</v>
      </c>
      <c r="D16" s="9">
        <v>99213</v>
      </c>
      <c r="E16" s="9" t="s">
        <v>109</v>
      </c>
      <c r="F16" s="10">
        <v>46134</v>
      </c>
      <c r="G16" s="9" t="s">
        <v>106</v>
      </c>
    </row>
    <row r="17" spans="1:7" s="9" customFormat="1" ht="15" customHeight="1" x14ac:dyDescent="0.35">
      <c r="A17" s="9" t="s">
        <v>145</v>
      </c>
      <c r="B17" s="9" t="s">
        <v>33</v>
      </c>
      <c r="C17" s="9" t="s">
        <v>16</v>
      </c>
      <c r="D17" s="9">
        <v>83036</v>
      </c>
      <c r="E17" s="9" t="s">
        <v>113</v>
      </c>
      <c r="F17" s="10">
        <v>46084</v>
      </c>
      <c r="G17" s="9" t="s">
        <v>106</v>
      </c>
    </row>
    <row r="18" spans="1:7" s="9" customFormat="1" ht="15" customHeight="1" x14ac:dyDescent="0.35">
      <c r="A18" s="9" t="s">
        <v>146</v>
      </c>
      <c r="B18" s="9" t="s">
        <v>37</v>
      </c>
      <c r="C18" s="9" t="s">
        <v>39</v>
      </c>
      <c r="D18" s="9">
        <v>45380</v>
      </c>
      <c r="E18" s="9" t="s">
        <v>105</v>
      </c>
      <c r="F18" s="10">
        <v>46106</v>
      </c>
      <c r="G18" s="9" t="s">
        <v>106</v>
      </c>
    </row>
    <row r="19" spans="1:7" s="9" customFormat="1" ht="15" customHeight="1" x14ac:dyDescent="0.35">
      <c r="A19" s="9" t="s">
        <v>147</v>
      </c>
      <c r="B19" s="9" t="s">
        <v>41</v>
      </c>
      <c r="C19" s="9" t="s">
        <v>16</v>
      </c>
      <c r="D19" s="9">
        <v>45380</v>
      </c>
      <c r="E19" s="9" t="s">
        <v>109</v>
      </c>
      <c r="F19" s="10">
        <v>46040</v>
      </c>
      <c r="G19" s="9" t="s">
        <v>106</v>
      </c>
    </row>
    <row r="20" spans="1:7" s="9" customFormat="1" ht="15" customHeight="1" x14ac:dyDescent="0.35">
      <c r="A20" s="9" t="s">
        <v>148</v>
      </c>
      <c r="B20" s="9" t="s">
        <v>41</v>
      </c>
      <c r="C20" s="9" t="s">
        <v>121</v>
      </c>
      <c r="D20" s="9">
        <v>83036</v>
      </c>
      <c r="E20" s="9" t="s">
        <v>113</v>
      </c>
      <c r="F20" s="10">
        <v>46037</v>
      </c>
      <c r="G20" s="9" t="s">
        <v>106</v>
      </c>
    </row>
    <row r="21" spans="1:7" s="9" customFormat="1" ht="15" customHeight="1" x14ac:dyDescent="0.35">
      <c r="A21" s="9" t="s">
        <v>149</v>
      </c>
      <c r="B21" s="9" t="s">
        <v>41</v>
      </c>
      <c r="C21" s="9" t="s">
        <v>150</v>
      </c>
      <c r="D21" s="9">
        <v>99214</v>
      </c>
      <c r="E21" s="9" t="s">
        <v>109</v>
      </c>
      <c r="F21" s="10">
        <v>46040</v>
      </c>
      <c r="G21" s="9" t="s">
        <v>106</v>
      </c>
    </row>
    <row r="22" spans="1:7" s="9" customFormat="1" ht="15" customHeight="1" x14ac:dyDescent="0.35">
      <c r="A22" s="9" t="s">
        <v>151</v>
      </c>
      <c r="B22" s="9" t="s">
        <v>44</v>
      </c>
      <c r="C22" s="9" t="s">
        <v>24</v>
      </c>
      <c r="D22" s="9">
        <v>99213</v>
      </c>
      <c r="E22" s="9" t="s">
        <v>109</v>
      </c>
      <c r="F22" s="10">
        <v>46088</v>
      </c>
      <c r="G22" s="9" t="s">
        <v>106</v>
      </c>
    </row>
    <row r="23" spans="1:7" s="9" customFormat="1" ht="15" customHeight="1" x14ac:dyDescent="0.35">
      <c r="A23" s="9" t="s">
        <v>152</v>
      </c>
      <c r="B23" s="9" t="s">
        <v>48</v>
      </c>
      <c r="C23" s="9" t="s">
        <v>121</v>
      </c>
      <c r="D23" s="9">
        <v>83036</v>
      </c>
      <c r="E23" s="9" t="s">
        <v>109</v>
      </c>
      <c r="F23" s="10">
        <v>46114</v>
      </c>
      <c r="G23" s="9" t="s">
        <v>106</v>
      </c>
    </row>
    <row r="24" spans="1:7" s="9" customFormat="1" ht="15" customHeight="1" x14ac:dyDescent="0.35">
      <c r="A24" s="9" t="s">
        <v>153</v>
      </c>
      <c r="B24" s="9" t="s">
        <v>48</v>
      </c>
      <c r="C24" s="9" t="s">
        <v>28</v>
      </c>
      <c r="D24" s="9">
        <v>99214</v>
      </c>
      <c r="E24" s="9" t="s">
        <v>113</v>
      </c>
      <c r="F24" s="10">
        <v>46052</v>
      </c>
      <c r="G24" s="9" t="s">
        <v>106</v>
      </c>
    </row>
    <row r="25" spans="1:7" s="9" customFormat="1" ht="15" customHeight="1" x14ac:dyDescent="0.35">
      <c r="A25" s="9" t="s">
        <v>154</v>
      </c>
      <c r="B25" s="9" t="s">
        <v>48</v>
      </c>
      <c r="C25" s="9" t="s">
        <v>72</v>
      </c>
      <c r="D25" s="9">
        <v>83036</v>
      </c>
      <c r="E25" s="9" t="s">
        <v>105</v>
      </c>
      <c r="F25" s="10">
        <v>46102</v>
      </c>
      <c r="G25" s="9" t="s">
        <v>106</v>
      </c>
    </row>
    <row r="26" spans="1:7" s="9" customFormat="1" ht="15" customHeight="1" x14ac:dyDescent="0.35">
      <c r="A26" s="9" t="s">
        <v>155</v>
      </c>
      <c r="B26" s="9" t="s">
        <v>51</v>
      </c>
      <c r="C26" s="9" t="s">
        <v>60</v>
      </c>
      <c r="D26" s="9">
        <v>99213</v>
      </c>
      <c r="E26" s="9" t="s">
        <v>105</v>
      </c>
      <c r="F26" s="10">
        <v>46079</v>
      </c>
      <c r="G26" s="9" t="s">
        <v>106</v>
      </c>
    </row>
    <row r="27" spans="1:7" s="9" customFormat="1" ht="15" customHeight="1" x14ac:dyDescent="0.35">
      <c r="A27" s="9" t="s">
        <v>156</v>
      </c>
      <c r="B27" s="9" t="s">
        <v>51</v>
      </c>
      <c r="C27" s="9" t="s">
        <v>150</v>
      </c>
      <c r="D27" s="9">
        <v>99214</v>
      </c>
      <c r="E27" s="9" t="s">
        <v>113</v>
      </c>
      <c r="F27" s="10">
        <v>46066</v>
      </c>
      <c r="G27" s="9" t="s">
        <v>106</v>
      </c>
    </row>
    <row r="28" spans="1:7" s="9" customFormat="1" ht="15" customHeight="1" x14ac:dyDescent="0.35">
      <c r="A28" s="9" t="s">
        <v>157</v>
      </c>
      <c r="B28" s="9" t="s">
        <v>54</v>
      </c>
      <c r="C28" s="9" t="s">
        <v>43</v>
      </c>
      <c r="D28" s="9">
        <v>77067</v>
      </c>
      <c r="E28" s="9" t="s">
        <v>113</v>
      </c>
      <c r="F28" s="10">
        <v>46108</v>
      </c>
      <c r="G28" s="9" t="s">
        <v>106</v>
      </c>
    </row>
    <row r="29" spans="1:7" s="9" customFormat="1" ht="15" customHeight="1" x14ac:dyDescent="0.35">
      <c r="A29" s="9" t="s">
        <v>158</v>
      </c>
      <c r="B29" s="9" t="s">
        <v>56</v>
      </c>
      <c r="C29" s="9" t="s">
        <v>121</v>
      </c>
      <c r="D29" s="9">
        <v>45380</v>
      </c>
      <c r="E29" s="9" t="s">
        <v>105</v>
      </c>
      <c r="F29" s="10">
        <v>46090</v>
      </c>
      <c r="G29" s="9" t="s">
        <v>106</v>
      </c>
    </row>
    <row r="30" spans="1:7" s="9" customFormat="1" ht="15" customHeight="1" x14ac:dyDescent="0.35">
      <c r="A30" s="9" t="s">
        <v>159</v>
      </c>
      <c r="B30" s="9" t="s">
        <v>58</v>
      </c>
      <c r="C30" s="9" t="s">
        <v>35</v>
      </c>
      <c r="D30" s="9">
        <v>99213</v>
      </c>
      <c r="E30" s="9" t="s">
        <v>113</v>
      </c>
      <c r="F30" s="10">
        <v>46029</v>
      </c>
      <c r="G30" s="9" t="s">
        <v>106</v>
      </c>
    </row>
    <row r="31" spans="1:7" s="9" customFormat="1" ht="15" customHeight="1" x14ac:dyDescent="0.35">
      <c r="A31" s="9" t="s">
        <v>160</v>
      </c>
      <c r="B31" s="9" t="s">
        <v>58</v>
      </c>
      <c r="C31" s="9" t="s">
        <v>121</v>
      </c>
      <c r="D31" s="9">
        <v>99214</v>
      </c>
      <c r="E31" s="9" t="s">
        <v>105</v>
      </c>
      <c r="F31" s="10">
        <v>46091</v>
      </c>
      <c r="G31" s="9" t="s">
        <v>106</v>
      </c>
    </row>
    <row r="32" spans="1:7" s="9" customFormat="1" ht="15" customHeight="1" x14ac:dyDescent="0.35">
      <c r="A32" s="9" t="s">
        <v>161</v>
      </c>
      <c r="B32" s="9" t="s">
        <v>58</v>
      </c>
      <c r="C32" s="9" t="s">
        <v>162</v>
      </c>
      <c r="D32" s="9">
        <v>45380</v>
      </c>
      <c r="E32" s="9" t="s">
        <v>109</v>
      </c>
      <c r="F32" s="10">
        <v>46126</v>
      </c>
      <c r="G32" s="9" t="s">
        <v>106</v>
      </c>
    </row>
    <row r="33" spans="1:7" s="9" customFormat="1" ht="15" customHeight="1" x14ac:dyDescent="0.35">
      <c r="A33" s="9" t="s">
        <v>163</v>
      </c>
      <c r="B33" s="9" t="s">
        <v>61</v>
      </c>
      <c r="C33" s="9" t="s">
        <v>35</v>
      </c>
      <c r="D33" s="9">
        <v>83036</v>
      </c>
      <c r="E33" s="9" t="s">
        <v>109</v>
      </c>
      <c r="F33" s="10">
        <v>46076</v>
      </c>
      <c r="G33" s="9" t="s">
        <v>106</v>
      </c>
    </row>
    <row r="34" spans="1:7" s="9" customFormat="1" ht="15" customHeight="1" x14ac:dyDescent="0.35">
      <c r="A34" s="9" t="s">
        <v>164</v>
      </c>
      <c r="B34" s="9" t="s">
        <v>63</v>
      </c>
      <c r="C34" s="9" t="s">
        <v>39</v>
      </c>
      <c r="D34" s="9">
        <v>99213</v>
      </c>
      <c r="E34" s="9" t="s">
        <v>109</v>
      </c>
      <c r="F34" s="10">
        <v>46120</v>
      </c>
      <c r="G34" s="9" t="s">
        <v>106</v>
      </c>
    </row>
    <row r="35" spans="1:7" s="9" customFormat="1" ht="15" customHeight="1" x14ac:dyDescent="0.35">
      <c r="A35" s="9" t="s">
        <v>165</v>
      </c>
      <c r="B35" s="9" t="s">
        <v>63</v>
      </c>
      <c r="C35" s="9" t="s">
        <v>67</v>
      </c>
      <c r="D35" s="9">
        <v>77067</v>
      </c>
      <c r="E35" s="9" t="s">
        <v>109</v>
      </c>
      <c r="F35" s="10">
        <v>46087</v>
      </c>
      <c r="G35" s="9" t="s">
        <v>106</v>
      </c>
    </row>
    <row r="36" spans="1:7" s="9" customFormat="1" ht="15" customHeight="1" x14ac:dyDescent="0.35">
      <c r="A36" s="9" t="s">
        <v>166</v>
      </c>
      <c r="B36" s="9" t="s">
        <v>65</v>
      </c>
      <c r="C36" s="9" t="s">
        <v>43</v>
      </c>
      <c r="D36" s="9">
        <v>80053</v>
      </c>
      <c r="E36" s="9" t="s">
        <v>105</v>
      </c>
      <c r="F36" s="10">
        <v>46044</v>
      </c>
      <c r="G36" s="9" t="s">
        <v>106</v>
      </c>
    </row>
    <row r="37" spans="1:7" s="9" customFormat="1" ht="15" customHeight="1" x14ac:dyDescent="0.35">
      <c r="A37" s="9" t="s">
        <v>167</v>
      </c>
      <c r="B37" s="9" t="s">
        <v>65</v>
      </c>
      <c r="C37" s="9" t="s">
        <v>39</v>
      </c>
      <c r="D37" s="9">
        <v>77067</v>
      </c>
      <c r="E37" s="9" t="s">
        <v>105</v>
      </c>
      <c r="F37" s="10">
        <v>46032</v>
      </c>
      <c r="G37" s="9" t="s">
        <v>106</v>
      </c>
    </row>
    <row r="38" spans="1:7" s="9" customFormat="1" ht="15" customHeight="1" x14ac:dyDescent="0.35">
      <c r="A38" s="9" t="s">
        <v>168</v>
      </c>
      <c r="B38" s="9" t="s">
        <v>68</v>
      </c>
      <c r="C38" s="9" t="s">
        <v>35</v>
      </c>
      <c r="D38" s="9">
        <v>99214</v>
      </c>
      <c r="E38" s="9" t="s">
        <v>113</v>
      </c>
      <c r="F38" s="10">
        <v>46129</v>
      </c>
      <c r="G38" s="9" t="s">
        <v>106</v>
      </c>
    </row>
    <row r="39" spans="1:7" s="9" customFormat="1" ht="15" customHeight="1" x14ac:dyDescent="0.35">
      <c r="A39" s="9" t="s">
        <v>169</v>
      </c>
      <c r="B39" s="9" t="s">
        <v>68</v>
      </c>
      <c r="C39" s="9" t="s">
        <v>43</v>
      </c>
      <c r="D39" s="9">
        <v>99214</v>
      </c>
      <c r="E39" s="9" t="s">
        <v>109</v>
      </c>
      <c r="F39" s="10">
        <v>46067</v>
      </c>
      <c r="G39" s="9" t="s">
        <v>106</v>
      </c>
    </row>
    <row r="40" spans="1:7" s="9" customFormat="1" ht="15" customHeight="1" x14ac:dyDescent="0.35">
      <c r="A40" s="9" t="s">
        <v>170</v>
      </c>
      <c r="B40" s="9" t="s">
        <v>70</v>
      </c>
      <c r="C40" s="9" t="s">
        <v>39</v>
      </c>
      <c r="D40" s="9">
        <v>77067</v>
      </c>
      <c r="E40" s="9" t="s">
        <v>105</v>
      </c>
      <c r="F40" s="10">
        <v>46060</v>
      </c>
      <c r="G40" s="9" t="s">
        <v>106</v>
      </c>
    </row>
    <row r="41" spans="1:7" s="9" customFormat="1" ht="15" customHeight="1" x14ac:dyDescent="0.35">
      <c r="A41" s="9" t="s">
        <v>171</v>
      </c>
      <c r="B41" s="9" t="s">
        <v>70</v>
      </c>
      <c r="C41" s="9" t="s">
        <v>72</v>
      </c>
      <c r="D41" s="9">
        <v>99213</v>
      </c>
      <c r="E41" s="9" t="s">
        <v>122</v>
      </c>
      <c r="F41" s="10">
        <v>46047</v>
      </c>
      <c r="G41" s="9" t="s">
        <v>106</v>
      </c>
    </row>
    <row r="42" spans="1:7" s="9" customFormat="1" ht="15" customHeight="1" x14ac:dyDescent="0.35">
      <c r="A42" s="9" t="s">
        <v>172</v>
      </c>
      <c r="B42" s="9" t="s">
        <v>70</v>
      </c>
      <c r="C42" s="9" t="s">
        <v>43</v>
      </c>
      <c r="D42" s="9">
        <v>80053</v>
      </c>
      <c r="E42" s="9" t="s">
        <v>105</v>
      </c>
      <c r="F42" s="10">
        <v>46057</v>
      </c>
      <c r="G42" s="9" t="s">
        <v>106</v>
      </c>
    </row>
    <row r="43" spans="1:7" s="9" customFormat="1" ht="15" customHeight="1" x14ac:dyDescent="0.35">
      <c r="A43" s="9" t="s">
        <v>173</v>
      </c>
      <c r="B43" s="9" t="s">
        <v>73</v>
      </c>
      <c r="C43" s="9" t="s">
        <v>60</v>
      </c>
      <c r="D43" s="9">
        <v>99214</v>
      </c>
      <c r="E43" s="9" t="s">
        <v>122</v>
      </c>
      <c r="F43" s="10">
        <v>46031</v>
      </c>
      <c r="G43" s="9" t="s">
        <v>106</v>
      </c>
    </row>
    <row r="44" spans="1:7" s="9" customFormat="1" ht="15" customHeight="1" x14ac:dyDescent="0.35">
      <c r="A44" s="9" t="s">
        <v>174</v>
      </c>
      <c r="B44" s="9" t="s">
        <v>73</v>
      </c>
      <c r="C44" s="9" t="s">
        <v>50</v>
      </c>
      <c r="D44" s="9">
        <v>99213</v>
      </c>
      <c r="E44" s="9" t="s">
        <v>122</v>
      </c>
      <c r="F44" s="10">
        <v>46094</v>
      </c>
      <c r="G44" s="9" t="s">
        <v>106</v>
      </c>
    </row>
    <row r="45" spans="1:7" s="9" customFormat="1" ht="15" customHeight="1" x14ac:dyDescent="0.35">
      <c r="A45" s="9" t="s">
        <v>175</v>
      </c>
      <c r="B45" s="9" t="s">
        <v>75</v>
      </c>
      <c r="C45" s="9" t="s">
        <v>43</v>
      </c>
      <c r="D45" s="9">
        <v>99214</v>
      </c>
      <c r="E45" s="9" t="s">
        <v>113</v>
      </c>
      <c r="F45" s="10">
        <v>46111</v>
      </c>
      <c r="G45" s="9" t="s">
        <v>106</v>
      </c>
    </row>
    <row r="46" spans="1:7" s="9" customFormat="1" ht="15" customHeight="1" x14ac:dyDescent="0.35">
      <c r="A46" s="9" t="s">
        <v>176</v>
      </c>
      <c r="B46" s="9" t="s">
        <v>77</v>
      </c>
      <c r="C46" s="9" t="s">
        <v>24</v>
      </c>
      <c r="D46" s="9">
        <v>99214</v>
      </c>
      <c r="E46" s="9" t="s">
        <v>122</v>
      </c>
      <c r="F46" s="10">
        <v>46067</v>
      </c>
      <c r="G46" s="9" t="s">
        <v>106</v>
      </c>
    </row>
    <row r="47" spans="1:7" s="9" customFormat="1" ht="15" customHeight="1" x14ac:dyDescent="0.35">
      <c r="A47" s="9" t="s">
        <v>177</v>
      </c>
      <c r="B47" s="9" t="s">
        <v>77</v>
      </c>
      <c r="C47" s="9" t="s">
        <v>162</v>
      </c>
      <c r="D47" s="9">
        <v>99214</v>
      </c>
      <c r="E47" s="9" t="s">
        <v>109</v>
      </c>
      <c r="F47" s="10">
        <v>46041</v>
      </c>
      <c r="G47" s="9" t="s">
        <v>106</v>
      </c>
    </row>
    <row r="48" spans="1:7" s="9" customFormat="1" ht="15" customHeight="1" x14ac:dyDescent="0.35">
      <c r="A48" s="9" t="s">
        <v>178</v>
      </c>
      <c r="B48" s="9" t="s">
        <v>80</v>
      </c>
      <c r="C48" s="9" t="s">
        <v>94</v>
      </c>
      <c r="D48" s="9">
        <v>99213</v>
      </c>
      <c r="E48" s="9" t="s">
        <v>109</v>
      </c>
      <c r="F48" s="10">
        <v>46083</v>
      </c>
      <c r="G48" s="9" t="s">
        <v>106</v>
      </c>
    </row>
    <row r="49" spans="1:7" s="9" customFormat="1" ht="15" customHeight="1" x14ac:dyDescent="0.35">
      <c r="A49" s="9" t="s">
        <v>179</v>
      </c>
      <c r="B49" s="9" t="s">
        <v>80</v>
      </c>
      <c r="C49" s="9" t="s">
        <v>50</v>
      </c>
      <c r="D49" s="9">
        <v>99214</v>
      </c>
      <c r="E49" s="9" t="s">
        <v>109</v>
      </c>
      <c r="F49" s="10">
        <v>46141</v>
      </c>
      <c r="G49" s="9" t="s">
        <v>106</v>
      </c>
    </row>
    <row r="50" spans="1:7" s="9" customFormat="1" ht="15" customHeight="1" x14ac:dyDescent="0.35">
      <c r="A50" s="9" t="s">
        <v>180</v>
      </c>
      <c r="B50" s="9" t="s">
        <v>80</v>
      </c>
      <c r="C50" s="9" t="s">
        <v>50</v>
      </c>
      <c r="D50" s="9">
        <v>88175</v>
      </c>
      <c r="E50" s="9" t="s">
        <v>105</v>
      </c>
      <c r="F50" s="10">
        <v>46122</v>
      </c>
      <c r="G50" s="9" t="s">
        <v>106</v>
      </c>
    </row>
    <row r="51" spans="1:7" s="9" customFormat="1" ht="15" customHeight="1" x14ac:dyDescent="0.35">
      <c r="A51" s="9" t="s">
        <v>181</v>
      </c>
      <c r="B51" s="9" t="s">
        <v>83</v>
      </c>
      <c r="C51" s="9" t="s">
        <v>46</v>
      </c>
      <c r="D51" s="9">
        <v>77067</v>
      </c>
      <c r="E51" s="9" t="s">
        <v>113</v>
      </c>
      <c r="F51" s="10">
        <v>46040</v>
      </c>
      <c r="G51" s="9" t="s">
        <v>106</v>
      </c>
    </row>
    <row r="52" spans="1:7" s="9" customFormat="1" ht="15" customHeight="1" x14ac:dyDescent="0.35">
      <c r="A52" s="9" t="s">
        <v>182</v>
      </c>
      <c r="B52" s="9" t="s">
        <v>83</v>
      </c>
      <c r="C52" s="9" t="s">
        <v>162</v>
      </c>
      <c r="D52" s="9">
        <v>77067</v>
      </c>
      <c r="E52" s="9" t="s">
        <v>113</v>
      </c>
      <c r="F52" s="10">
        <v>46115</v>
      </c>
      <c r="G52" s="9" t="s">
        <v>106</v>
      </c>
    </row>
    <row r="53" spans="1:7" s="9" customFormat="1" ht="15" customHeight="1" x14ac:dyDescent="0.35">
      <c r="A53" s="9" t="s">
        <v>183</v>
      </c>
      <c r="B53" s="9" t="s">
        <v>86</v>
      </c>
      <c r="C53" s="9" t="s">
        <v>28</v>
      </c>
      <c r="D53" s="9">
        <v>45380</v>
      </c>
      <c r="E53" s="9" t="s">
        <v>109</v>
      </c>
      <c r="F53" s="10">
        <v>46136</v>
      </c>
      <c r="G53" s="9" t="s">
        <v>106</v>
      </c>
    </row>
    <row r="54" spans="1:7" s="9" customFormat="1" ht="15" customHeight="1" x14ac:dyDescent="0.35">
      <c r="A54" s="9" t="s">
        <v>184</v>
      </c>
      <c r="B54" s="9" t="s">
        <v>86</v>
      </c>
      <c r="C54" s="9" t="s">
        <v>43</v>
      </c>
      <c r="D54" s="9">
        <v>77067</v>
      </c>
      <c r="E54" s="9" t="s">
        <v>105</v>
      </c>
      <c r="F54" s="10">
        <v>46098</v>
      </c>
      <c r="G54" s="9" t="s">
        <v>106</v>
      </c>
    </row>
    <row r="55" spans="1:7" s="9" customFormat="1" ht="15" customHeight="1" x14ac:dyDescent="0.35">
      <c r="A55" s="9" t="s">
        <v>185</v>
      </c>
      <c r="B55" s="9" t="s">
        <v>86</v>
      </c>
      <c r="C55" s="9" t="s">
        <v>24</v>
      </c>
      <c r="D55" s="9">
        <v>83036</v>
      </c>
      <c r="E55" s="9" t="s">
        <v>105</v>
      </c>
      <c r="F55" s="10">
        <v>46124</v>
      </c>
      <c r="G55" s="9" t="s">
        <v>106</v>
      </c>
    </row>
    <row r="56" spans="1:7" s="9" customFormat="1" ht="15" customHeight="1" x14ac:dyDescent="0.35">
      <c r="A56" s="9" t="s">
        <v>186</v>
      </c>
      <c r="B56" s="9" t="s">
        <v>88</v>
      </c>
      <c r="C56" s="9" t="s">
        <v>35</v>
      </c>
      <c r="D56" s="9">
        <v>99214</v>
      </c>
      <c r="E56" s="9" t="s">
        <v>109</v>
      </c>
      <c r="F56" s="10">
        <v>46071</v>
      </c>
      <c r="G56" s="9" t="s">
        <v>106</v>
      </c>
    </row>
    <row r="57" spans="1:7" s="9" customFormat="1" ht="15" customHeight="1" x14ac:dyDescent="0.35">
      <c r="A57" s="9" t="s">
        <v>187</v>
      </c>
      <c r="B57" s="9" t="s">
        <v>88</v>
      </c>
      <c r="C57" s="9" t="s">
        <v>24</v>
      </c>
      <c r="D57" s="9">
        <v>99214</v>
      </c>
      <c r="E57" s="9" t="s">
        <v>113</v>
      </c>
      <c r="F57" s="10">
        <v>46066</v>
      </c>
      <c r="G57" s="9" t="s">
        <v>106</v>
      </c>
    </row>
    <row r="58" spans="1:7" s="9" customFormat="1" ht="15" customHeight="1" x14ac:dyDescent="0.35">
      <c r="A58" s="9" t="s">
        <v>188</v>
      </c>
      <c r="B58" s="9" t="s">
        <v>90</v>
      </c>
      <c r="C58" s="9" t="s">
        <v>35</v>
      </c>
      <c r="D58" s="9">
        <v>99213</v>
      </c>
      <c r="E58" s="9" t="s">
        <v>113</v>
      </c>
      <c r="F58" s="10">
        <v>46056</v>
      </c>
      <c r="G58" s="9" t="s">
        <v>106</v>
      </c>
    </row>
    <row r="59" spans="1:7" s="9" customFormat="1" ht="15" customHeight="1" x14ac:dyDescent="0.35">
      <c r="A59" s="9" t="s">
        <v>189</v>
      </c>
      <c r="B59" s="9" t="s">
        <v>92</v>
      </c>
      <c r="C59" s="9" t="s">
        <v>39</v>
      </c>
      <c r="D59" s="9">
        <v>45380</v>
      </c>
      <c r="E59" s="9" t="s">
        <v>113</v>
      </c>
      <c r="F59" s="10">
        <v>46029</v>
      </c>
      <c r="G59" s="9" t="s">
        <v>106</v>
      </c>
    </row>
    <row r="60" spans="1:7" s="9" customFormat="1" ht="15" customHeight="1" x14ac:dyDescent="0.35">
      <c r="A60" s="9" t="s">
        <v>190</v>
      </c>
      <c r="B60" s="9" t="s">
        <v>92</v>
      </c>
      <c r="C60" s="9" t="s">
        <v>43</v>
      </c>
      <c r="D60" s="9">
        <v>88175</v>
      </c>
      <c r="E60" s="9" t="s">
        <v>113</v>
      </c>
      <c r="F60" s="10">
        <v>46040</v>
      </c>
      <c r="G60" s="9" t="s">
        <v>106</v>
      </c>
    </row>
    <row r="61" spans="1:7" s="9" customFormat="1" ht="15" customHeight="1" x14ac:dyDescent="0.35">
      <c r="A61" s="9" t="s">
        <v>191</v>
      </c>
      <c r="B61" s="9" t="s">
        <v>92</v>
      </c>
      <c r="C61" s="9" t="s">
        <v>20</v>
      </c>
      <c r="D61" s="9">
        <v>77067</v>
      </c>
      <c r="E61" s="9" t="s">
        <v>109</v>
      </c>
      <c r="F61" s="10">
        <v>46071</v>
      </c>
      <c r="G61" s="9" t="s">
        <v>106</v>
      </c>
    </row>
    <row r="62" spans="1:7" s="9" customFormat="1" ht="15" customHeight="1" x14ac:dyDescent="0.35">
      <c r="A62" s="9" t="s">
        <v>192</v>
      </c>
      <c r="B62" s="9" t="s">
        <v>96</v>
      </c>
      <c r="C62" s="9" t="s">
        <v>150</v>
      </c>
      <c r="D62" s="9">
        <v>99214</v>
      </c>
      <c r="E62" s="9" t="s">
        <v>122</v>
      </c>
      <c r="F62" s="10">
        <v>46067</v>
      </c>
      <c r="G62" s="9" t="s">
        <v>106</v>
      </c>
    </row>
    <row r="63" spans="1:7" s="9" customFormat="1" ht="15" customHeight="1" x14ac:dyDescent="0.35">
      <c r="A63" s="9" t="s">
        <v>193</v>
      </c>
      <c r="B63" s="9" t="s">
        <v>96</v>
      </c>
      <c r="C63" s="9" t="s">
        <v>46</v>
      </c>
      <c r="D63" s="9">
        <v>99213</v>
      </c>
      <c r="E63" s="9" t="s">
        <v>122</v>
      </c>
      <c r="F63" s="10">
        <v>46049</v>
      </c>
      <c r="G63" s="9" t="s">
        <v>106</v>
      </c>
    </row>
    <row r="64" spans="1:7" s="9" customFormat="1" ht="15" customHeight="1" x14ac:dyDescent="0.35">
      <c r="A64" s="9" t="s">
        <v>194</v>
      </c>
      <c r="B64" s="9" t="s">
        <v>88</v>
      </c>
      <c r="C64" s="9" t="s">
        <v>67</v>
      </c>
      <c r="D64" s="9">
        <v>99213</v>
      </c>
      <c r="E64" s="9" t="s">
        <v>122</v>
      </c>
      <c r="F64" s="10">
        <v>46028</v>
      </c>
      <c r="G64" s="9" t="s">
        <v>106</v>
      </c>
    </row>
    <row r="65" spans="1:8" s="9" customFormat="1" ht="15" customHeight="1" x14ac:dyDescent="0.35">
      <c r="A65" s="9" t="s">
        <v>195</v>
      </c>
      <c r="B65" s="9" t="s">
        <v>14</v>
      </c>
      <c r="C65" s="9" t="s">
        <v>28</v>
      </c>
      <c r="D65" s="9">
        <v>99213</v>
      </c>
      <c r="E65" s="9" t="s">
        <v>122</v>
      </c>
      <c r="F65" s="10">
        <v>46028</v>
      </c>
      <c r="G65" s="9" t="s">
        <v>106</v>
      </c>
    </row>
    <row r="66" spans="1:8" s="9" customFormat="1" ht="15" customHeight="1" x14ac:dyDescent="0.35">
      <c r="A66" s="9" t="s">
        <v>196</v>
      </c>
      <c r="B66" s="9" t="s">
        <v>90</v>
      </c>
      <c r="C66" s="9" t="s">
        <v>12</v>
      </c>
      <c r="D66" s="9">
        <v>99213</v>
      </c>
      <c r="E66" s="9" t="s">
        <v>122</v>
      </c>
      <c r="F66" s="10">
        <v>46028</v>
      </c>
      <c r="G66" s="9" t="s">
        <v>106</v>
      </c>
    </row>
    <row r="67" spans="1:8" s="9" customFormat="1" ht="15" customHeight="1" x14ac:dyDescent="0.35">
      <c r="A67" s="9" t="s">
        <v>197</v>
      </c>
      <c r="B67" s="9" t="s">
        <v>33</v>
      </c>
      <c r="C67" s="9" t="s">
        <v>28</v>
      </c>
      <c r="D67" s="9">
        <v>99213</v>
      </c>
      <c r="E67" s="9" t="s">
        <v>122</v>
      </c>
      <c r="F67" s="10">
        <v>46028</v>
      </c>
      <c r="G67" s="9" t="s">
        <v>106</v>
      </c>
    </row>
    <row r="68" spans="1:8" s="9" customFormat="1" ht="15" customHeight="1" x14ac:dyDescent="0.35">
      <c r="A68" s="9" t="s">
        <v>198</v>
      </c>
      <c r="B68" s="9" t="s">
        <v>75</v>
      </c>
      <c r="C68" s="9" t="s">
        <v>39</v>
      </c>
      <c r="D68" s="9">
        <v>99213</v>
      </c>
      <c r="E68" s="9" t="s">
        <v>122</v>
      </c>
      <c r="F68" s="10">
        <v>46028</v>
      </c>
      <c r="G68" s="9" t="s">
        <v>106</v>
      </c>
    </row>
    <row r="69" spans="1:8" s="9" customFormat="1" ht="15" customHeight="1" x14ac:dyDescent="0.35">
      <c r="A69" s="9" t="s">
        <v>199</v>
      </c>
      <c r="B69" s="9" t="s">
        <v>65</v>
      </c>
      <c r="C69" s="9" t="s">
        <v>94</v>
      </c>
      <c r="D69" s="9">
        <v>99213</v>
      </c>
      <c r="E69" s="9" t="s">
        <v>122</v>
      </c>
      <c r="F69" s="10">
        <v>46028</v>
      </c>
      <c r="G69" s="9" t="s">
        <v>106</v>
      </c>
    </row>
    <row r="70" spans="1:8" s="9" customFormat="1" ht="15" customHeight="1" x14ac:dyDescent="0.35">
      <c r="A70" s="9" t="s">
        <v>200</v>
      </c>
      <c r="B70" s="9" t="s">
        <v>73</v>
      </c>
      <c r="C70" s="9" t="s">
        <v>20</v>
      </c>
      <c r="D70" s="9">
        <v>99213</v>
      </c>
      <c r="E70" s="9" t="s">
        <v>122</v>
      </c>
      <c r="F70" s="10">
        <v>46028</v>
      </c>
      <c r="G70" s="9" t="s">
        <v>106</v>
      </c>
    </row>
    <row r="71" spans="1:8" s="9" customFormat="1" ht="15" customHeight="1" x14ac:dyDescent="0.35">
      <c r="A71" s="9" t="s">
        <v>201</v>
      </c>
      <c r="B71" s="9" t="s">
        <v>92</v>
      </c>
      <c r="C71" s="9" t="s">
        <v>121</v>
      </c>
      <c r="D71" s="9">
        <v>99213</v>
      </c>
      <c r="E71" s="9" t="s">
        <v>122</v>
      </c>
      <c r="F71" s="10">
        <v>46028</v>
      </c>
      <c r="G71" s="9" t="s">
        <v>106</v>
      </c>
    </row>
    <row r="72" spans="1:8" s="9" customFormat="1" ht="15" customHeight="1" x14ac:dyDescent="0.35">
      <c r="A72" s="9" t="s">
        <v>202</v>
      </c>
      <c r="B72" s="9" t="s">
        <v>65</v>
      </c>
      <c r="C72" s="9" t="s">
        <v>28</v>
      </c>
      <c r="D72" s="9">
        <v>83036</v>
      </c>
      <c r="E72" s="9" t="s">
        <v>122</v>
      </c>
      <c r="F72" s="10">
        <v>46035</v>
      </c>
      <c r="G72" s="9" t="s">
        <v>106</v>
      </c>
    </row>
    <row r="73" spans="1:8" s="9" customFormat="1" ht="15" customHeight="1" x14ac:dyDescent="0.35">
      <c r="A73" s="9" t="s">
        <v>203</v>
      </c>
      <c r="B73" s="9" t="s">
        <v>73</v>
      </c>
      <c r="C73" s="9" t="s">
        <v>67</v>
      </c>
      <c r="D73" s="9">
        <v>83036</v>
      </c>
      <c r="E73" s="9" t="s">
        <v>122</v>
      </c>
      <c r="F73" s="10">
        <v>46035</v>
      </c>
      <c r="G73" s="9" t="s">
        <v>106</v>
      </c>
    </row>
    <row r="74" spans="1:8" ht="29" x14ac:dyDescent="0.35">
      <c r="A74" s="9" t="s">
        <v>204</v>
      </c>
      <c r="B74" s="5" t="s">
        <v>48</v>
      </c>
      <c r="C74" t="s">
        <v>94</v>
      </c>
      <c r="D74" s="26">
        <v>77067</v>
      </c>
      <c r="E74" t="s">
        <v>205</v>
      </c>
      <c r="F74" s="6">
        <v>45203</v>
      </c>
      <c r="G74" s="9" t="s">
        <v>106</v>
      </c>
      <c r="H74" s="25" t="str">
        <f ca="1">CONCATENATE(DATEDIF(F74, TODAY(), "M"), " ", IF(DATEDIF(F74, TODAY(), "M")=1, "Month passed", "Months passed"))</f>
        <v>29 Months passed</v>
      </c>
    </row>
  </sheetData>
  <autoFilter ref="A1:G74" xr:uid="{00000000-0001-0000-02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tabSelected="1" workbookViewId="0">
      <pane ySplit="1" topLeftCell="A2" activePane="bottomLeft" state="frozen"/>
      <selection pane="bottomLeft" sqref="A1:E2"/>
    </sheetView>
  </sheetViews>
  <sheetFormatPr defaultRowHeight="14.5" x14ac:dyDescent="0.35"/>
  <cols>
    <col min="1" max="1" width="8.1796875" customWidth="1"/>
    <col min="2" max="2" width="70.54296875" bestFit="1" customWidth="1"/>
    <col min="3" max="3" width="6" bestFit="1" customWidth="1"/>
    <col min="4" max="4" width="9.81640625" bestFit="1" customWidth="1"/>
    <col min="5" max="5" width="47.1796875" bestFit="1" customWidth="1"/>
  </cols>
  <sheetData>
    <row r="1" spans="1:5" x14ac:dyDescent="0.35">
      <c r="A1" s="1" t="s">
        <v>206</v>
      </c>
      <c r="B1" s="1" t="s">
        <v>207</v>
      </c>
      <c r="C1" s="1" t="s">
        <v>208</v>
      </c>
      <c r="D1" s="1" t="s">
        <v>209</v>
      </c>
      <c r="E1" s="1" t="s">
        <v>210</v>
      </c>
    </row>
    <row r="2" spans="1:5" x14ac:dyDescent="0.35">
      <c r="A2" t="s">
        <v>211</v>
      </c>
      <c r="B2" s="5" t="s">
        <v>212</v>
      </c>
      <c r="C2">
        <v>0</v>
      </c>
      <c r="D2">
        <v>500</v>
      </c>
      <c r="E2" t="s">
        <v>213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workbookViewId="0">
      <pane ySplit="1" topLeftCell="A2" activePane="bottomLeft" state="frozen"/>
      <selection pane="bottomLeft" sqref="A1:F19"/>
    </sheetView>
  </sheetViews>
  <sheetFormatPr defaultRowHeight="14.5" x14ac:dyDescent="0.35"/>
  <cols>
    <col min="1" max="1" width="9.7265625" bestFit="1" customWidth="1"/>
    <col min="2" max="2" width="17.1796875" bestFit="1" customWidth="1"/>
    <col min="3" max="3" width="15.54296875" bestFit="1" customWidth="1"/>
    <col min="4" max="5" width="13.453125" bestFit="1" customWidth="1"/>
    <col min="6" max="6" width="12.54296875" customWidth="1"/>
  </cols>
  <sheetData>
    <row r="1" spans="1:6" x14ac:dyDescent="0.35">
      <c r="A1" s="1" t="s">
        <v>99</v>
      </c>
      <c r="B1" s="1" t="s">
        <v>1</v>
      </c>
      <c r="C1" s="1" t="s">
        <v>214</v>
      </c>
      <c r="D1" s="1" t="s">
        <v>215</v>
      </c>
      <c r="E1" s="1" t="s">
        <v>216</v>
      </c>
      <c r="F1" s="1" t="s">
        <v>217</v>
      </c>
    </row>
    <row r="2" spans="1:6" x14ac:dyDescent="0.35">
      <c r="A2" t="s">
        <v>20</v>
      </c>
      <c r="B2" t="s">
        <v>218</v>
      </c>
      <c r="C2" t="s">
        <v>219</v>
      </c>
      <c r="D2" t="s">
        <v>220</v>
      </c>
      <c r="E2" t="s">
        <v>221</v>
      </c>
      <c r="F2" t="s">
        <v>222</v>
      </c>
    </row>
    <row r="3" spans="1:6" x14ac:dyDescent="0.35">
      <c r="A3" t="s">
        <v>162</v>
      </c>
      <c r="B3" t="s">
        <v>223</v>
      </c>
      <c r="C3" t="s">
        <v>219</v>
      </c>
      <c r="D3" t="s">
        <v>220</v>
      </c>
      <c r="E3" t="s">
        <v>221</v>
      </c>
      <c r="F3" t="s">
        <v>224</v>
      </c>
    </row>
    <row r="4" spans="1:6" x14ac:dyDescent="0.35">
      <c r="A4" t="s">
        <v>133</v>
      </c>
      <c r="B4" t="s">
        <v>225</v>
      </c>
      <c r="C4" t="s">
        <v>219</v>
      </c>
      <c r="D4" t="s">
        <v>220</v>
      </c>
      <c r="E4" t="s">
        <v>221</v>
      </c>
      <c r="F4" t="s">
        <v>226</v>
      </c>
    </row>
    <row r="5" spans="1:6" x14ac:dyDescent="0.35">
      <c r="A5" t="s">
        <v>43</v>
      </c>
      <c r="B5" t="s">
        <v>227</v>
      </c>
      <c r="C5" t="s">
        <v>228</v>
      </c>
      <c r="D5" t="s">
        <v>220</v>
      </c>
      <c r="E5" t="s">
        <v>221</v>
      </c>
      <c r="F5" t="s">
        <v>229</v>
      </c>
    </row>
    <row r="6" spans="1:6" x14ac:dyDescent="0.35">
      <c r="A6" t="s">
        <v>24</v>
      </c>
      <c r="B6" t="s">
        <v>230</v>
      </c>
      <c r="C6" t="s">
        <v>219</v>
      </c>
      <c r="D6" t="s">
        <v>220</v>
      </c>
      <c r="E6" t="s">
        <v>221</v>
      </c>
      <c r="F6" t="s">
        <v>231</v>
      </c>
    </row>
    <row r="7" spans="1:6" x14ac:dyDescent="0.35">
      <c r="A7" t="s">
        <v>150</v>
      </c>
      <c r="B7" t="s">
        <v>232</v>
      </c>
      <c r="C7" t="s">
        <v>219</v>
      </c>
      <c r="D7" t="s">
        <v>220</v>
      </c>
      <c r="E7" t="s">
        <v>221</v>
      </c>
      <c r="F7" t="s">
        <v>233</v>
      </c>
    </row>
    <row r="8" spans="1:6" x14ac:dyDescent="0.35">
      <c r="A8" t="s">
        <v>16</v>
      </c>
      <c r="B8" t="s">
        <v>234</v>
      </c>
      <c r="C8" t="s">
        <v>228</v>
      </c>
      <c r="D8" t="s">
        <v>220</v>
      </c>
      <c r="E8" t="s">
        <v>221</v>
      </c>
      <c r="F8" t="s">
        <v>222</v>
      </c>
    </row>
    <row r="9" spans="1:6" x14ac:dyDescent="0.35">
      <c r="A9" s="5" t="s">
        <v>50</v>
      </c>
      <c r="B9" t="s">
        <v>235</v>
      </c>
      <c r="C9" t="s">
        <v>228</v>
      </c>
      <c r="D9" t="s">
        <v>220</v>
      </c>
      <c r="E9" s="5" t="s">
        <v>221</v>
      </c>
      <c r="F9" t="s">
        <v>236</v>
      </c>
    </row>
    <row r="10" spans="1:6" x14ac:dyDescent="0.35">
      <c r="A10" t="s">
        <v>72</v>
      </c>
      <c r="B10" t="s">
        <v>237</v>
      </c>
      <c r="C10" t="s">
        <v>219</v>
      </c>
      <c r="D10" t="s">
        <v>220</v>
      </c>
      <c r="E10" t="s">
        <v>221</v>
      </c>
      <c r="F10" t="s">
        <v>238</v>
      </c>
    </row>
    <row r="11" spans="1:6" x14ac:dyDescent="0.35">
      <c r="A11" t="s">
        <v>46</v>
      </c>
      <c r="B11" t="s">
        <v>239</v>
      </c>
      <c r="C11" t="s">
        <v>228</v>
      </c>
      <c r="D11" t="s">
        <v>220</v>
      </c>
      <c r="E11" t="s">
        <v>221</v>
      </c>
      <c r="F11" t="s">
        <v>240</v>
      </c>
    </row>
    <row r="12" spans="1:6" x14ac:dyDescent="0.35">
      <c r="A12" t="s">
        <v>28</v>
      </c>
      <c r="B12" t="s">
        <v>241</v>
      </c>
      <c r="C12" t="s">
        <v>219</v>
      </c>
      <c r="D12" t="s">
        <v>220</v>
      </c>
      <c r="E12" t="s">
        <v>221</v>
      </c>
      <c r="F12" t="s">
        <v>242</v>
      </c>
    </row>
    <row r="13" spans="1:6" x14ac:dyDescent="0.35">
      <c r="A13" t="s">
        <v>60</v>
      </c>
      <c r="B13" t="s">
        <v>225</v>
      </c>
      <c r="C13" t="s">
        <v>228</v>
      </c>
      <c r="D13" t="s">
        <v>220</v>
      </c>
      <c r="E13" t="s">
        <v>221</v>
      </c>
      <c r="F13" t="s">
        <v>240</v>
      </c>
    </row>
    <row r="14" spans="1:6" x14ac:dyDescent="0.35">
      <c r="A14" t="s">
        <v>39</v>
      </c>
      <c r="B14" t="s">
        <v>243</v>
      </c>
      <c r="C14" t="s">
        <v>244</v>
      </c>
      <c r="D14" t="s">
        <v>220</v>
      </c>
      <c r="E14" t="s">
        <v>221</v>
      </c>
      <c r="F14" t="s">
        <v>245</v>
      </c>
    </row>
    <row r="15" spans="1:6" x14ac:dyDescent="0.35">
      <c r="A15" t="s">
        <v>35</v>
      </c>
      <c r="B15" t="s">
        <v>246</v>
      </c>
      <c r="C15" t="s">
        <v>247</v>
      </c>
      <c r="D15" t="s">
        <v>220</v>
      </c>
      <c r="E15" t="s">
        <v>221</v>
      </c>
      <c r="F15" t="s">
        <v>245</v>
      </c>
    </row>
    <row r="16" spans="1:6" x14ac:dyDescent="0.35">
      <c r="A16" t="s">
        <v>121</v>
      </c>
      <c r="B16" t="s">
        <v>248</v>
      </c>
      <c r="C16" t="s">
        <v>244</v>
      </c>
      <c r="D16" t="s">
        <v>220</v>
      </c>
      <c r="E16" t="s">
        <v>221</v>
      </c>
      <c r="F16" t="s">
        <v>229</v>
      </c>
    </row>
    <row r="17" spans="1:6" x14ac:dyDescent="0.35">
      <c r="A17" t="s">
        <v>12</v>
      </c>
      <c r="B17" t="s">
        <v>249</v>
      </c>
      <c r="C17" t="s">
        <v>250</v>
      </c>
      <c r="D17" t="s">
        <v>251</v>
      </c>
      <c r="E17" t="s">
        <v>221</v>
      </c>
      <c r="F17" t="s">
        <v>242</v>
      </c>
    </row>
    <row r="18" spans="1:6" x14ac:dyDescent="0.35">
      <c r="A18" t="s">
        <v>94</v>
      </c>
      <c r="B18" t="s">
        <v>252</v>
      </c>
      <c r="C18" t="s">
        <v>253</v>
      </c>
      <c r="D18" t="s">
        <v>254</v>
      </c>
      <c r="E18" t="s">
        <v>221</v>
      </c>
      <c r="F18" t="s">
        <v>255</v>
      </c>
    </row>
    <row r="19" spans="1:6" x14ac:dyDescent="0.35">
      <c r="A19" t="s">
        <v>67</v>
      </c>
      <c r="B19" t="s">
        <v>256</v>
      </c>
      <c r="C19" t="s">
        <v>253</v>
      </c>
      <c r="D19" t="s">
        <v>254</v>
      </c>
      <c r="E19" t="s">
        <v>221</v>
      </c>
      <c r="F19" t="s">
        <v>245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1"/>
  <sheetViews>
    <sheetView workbookViewId="0">
      <pane ySplit="1" topLeftCell="A11" activePane="bottomLeft" state="frozen"/>
      <selection pane="bottomLeft" sqref="A1:E31"/>
    </sheetView>
  </sheetViews>
  <sheetFormatPr defaultRowHeight="14.5" x14ac:dyDescent="0.35"/>
  <cols>
    <col min="1" max="1" width="9.81640625" bestFit="1" customWidth="1"/>
    <col min="2" max="2" width="6.26953125" bestFit="1" customWidth="1"/>
    <col min="3" max="3" width="20.7265625" customWidth="1"/>
    <col min="4" max="4" width="12.453125" bestFit="1" customWidth="1"/>
    <col min="5" max="5" width="10.1796875" bestFit="1" customWidth="1"/>
  </cols>
  <sheetData>
    <row r="1" spans="1:5" x14ac:dyDescent="0.35">
      <c r="A1" s="1" t="s">
        <v>0</v>
      </c>
      <c r="B1" s="1" t="s">
        <v>206</v>
      </c>
      <c r="C1" s="1" t="s">
        <v>4</v>
      </c>
      <c r="D1" s="1" t="s">
        <v>257</v>
      </c>
      <c r="E1" s="1" t="s">
        <v>258</v>
      </c>
    </row>
    <row r="2" spans="1:5" x14ac:dyDescent="0.35">
      <c r="A2" t="s">
        <v>9</v>
      </c>
      <c r="B2" t="s">
        <v>211</v>
      </c>
      <c r="C2" t="s">
        <v>12</v>
      </c>
      <c r="D2" s="2">
        <v>46023</v>
      </c>
      <c r="E2" t="s">
        <v>259</v>
      </c>
    </row>
    <row r="3" spans="1:5" x14ac:dyDescent="0.35">
      <c r="A3" t="s">
        <v>14</v>
      </c>
      <c r="B3" t="s">
        <v>211</v>
      </c>
      <c r="C3" t="s">
        <v>16</v>
      </c>
      <c r="D3" s="2">
        <v>46023</v>
      </c>
      <c r="E3" t="s">
        <v>259</v>
      </c>
    </row>
    <row r="4" spans="1:5" x14ac:dyDescent="0.35">
      <c r="A4" t="s">
        <v>18</v>
      </c>
      <c r="B4" t="s">
        <v>211</v>
      </c>
      <c r="C4" t="s">
        <v>20</v>
      </c>
      <c r="D4" s="2">
        <v>46023</v>
      </c>
      <c r="E4" t="s">
        <v>259</v>
      </c>
    </row>
    <row r="5" spans="1:5" x14ac:dyDescent="0.35">
      <c r="A5" t="s">
        <v>21</v>
      </c>
      <c r="B5" t="s">
        <v>211</v>
      </c>
      <c r="C5" t="s">
        <v>24</v>
      </c>
      <c r="D5" s="2">
        <v>46023</v>
      </c>
      <c r="E5" t="s">
        <v>259</v>
      </c>
    </row>
    <row r="6" spans="1:5" x14ac:dyDescent="0.35">
      <c r="A6" t="s">
        <v>26</v>
      </c>
      <c r="B6" t="s">
        <v>211</v>
      </c>
      <c r="C6" t="s">
        <v>28</v>
      </c>
      <c r="D6" s="2">
        <v>46023</v>
      </c>
      <c r="E6" t="s">
        <v>259</v>
      </c>
    </row>
    <row r="7" spans="1:5" x14ac:dyDescent="0.35">
      <c r="A7" t="s">
        <v>30</v>
      </c>
      <c r="B7" t="s">
        <v>211</v>
      </c>
      <c r="C7" t="s">
        <v>16</v>
      </c>
      <c r="D7" s="2">
        <v>46023</v>
      </c>
      <c r="E7" t="s">
        <v>259</v>
      </c>
    </row>
    <row r="8" spans="1:5" x14ac:dyDescent="0.35">
      <c r="A8" t="s">
        <v>33</v>
      </c>
      <c r="B8" t="s">
        <v>211</v>
      </c>
      <c r="C8" t="s">
        <v>35</v>
      </c>
      <c r="D8" s="2">
        <v>46023</v>
      </c>
      <c r="E8" t="s">
        <v>259</v>
      </c>
    </row>
    <row r="9" spans="1:5" x14ac:dyDescent="0.35">
      <c r="A9" t="s">
        <v>37</v>
      </c>
      <c r="B9" t="s">
        <v>211</v>
      </c>
      <c r="C9" t="s">
        <v>39</v>
      </c>
      <c r="D9" s="2">
        <v>46023</v>
      </c>
      <c r="E9" t="s">
        <v>259</v>
      </c>
    </row>
    <row r="10" spans="1:5" x14ac:dyDescent="0.35">
      <c r="A10" t="s">
        <v>41</v>
      </c>
      <c r="B10" t="s">
        <v>211</v>
      </c>
      <c r="C10" t="s">
        <v>43</v>
      </c>
      <c r="D10" s="2">
        <v>46023</v>
      </c>
      <c r="E10" t="s">
        <v>259</v>
      </c>
    </row>
    <row r="11" spans="1:5" x14ac:dyDescent="0.35">
      <c r="A11" t="s">
        <v>44</v>
      </c>
      <c r="B11" t="s">
        <v>211</v>
      </c>
      <c r="C11" t="s">
        <v>46</v>
      </c>
      <c r="D11" s="2">
        <v>46023</v>
      </c>
      <c r="E11" t="s">
        <v>259</v>
      </c>
    </row>
    <row r="12" spans="1:5" x14ac:dyDescent="0.35">
      <c r="A12" s="4" t="s">
        <v>48</v>
      </c>
      <c r="B12" s="4" t="s">
        <v>211</v>
      </c>
      <c r="C12" s="4" t="s">
        <v>50</v>
      </c>
      <c r="D12" s="7">
        <v>46023</v>
      </c>
      <c r="E12" s="4" t="s">
        <v>259</v>
      </c>
    </row>
    <row r="13" spans="1:5" x14ac:dyDescent="0.35">
      <c r="A13" t="s">
        <v>51</v>
      </c>
      <c r="B13" t="s">
        <v>211</v>
      </c>
      <c r="C13" t="s">
        <v>20</v>
      </c>
      <c r="D13" s="2">
        <v>46023</v>
      </c>
      <c r="E13" t="s">
        <v>259</v>
      </c>
    </row>
    <row r="14" spans="1:5" x14ac:dyDescent="0.35">
      <c r="A14" t="s">
        <v>54</v>
      </c>
      <c r="B14" t="s">
        <v>211</v>
      </c>
      <c r="C14" t="s">
        <v>20</v>
      </c>
      <c r="D14" s="2">
        <v>46023</v>
      </c>
      <c r="E14" t="s">
        <v>259</v>
      </c>
    </row>
    <row r="15" spans="1:5" x14ac:dyDescent="0.35">
      <c r="A15" t="s">
        <v>56</v>
      </c>
      <c r="B15" t="s">
        <v>211</v>
      </c>
      <c r="C15" t="s">
        <v>20</v>
      </c>
      <c r="D15" s="2">
        <v>46023</v>
      </c>
      <c r="E15" t="s">
        <v>259</v>
      </c>
    </row>
    <row r="16" spans="1:5" x14ac:dyDescent="0.35">
      <c r="A16" t="s">
        <v>58</v>
      </c>
      <c r="B16" t="s">
        <v>211</v>
      </c>
      <c r="C16" t="s">
        <v>60</v>
      </c>
      <c r="D16" s="2">
        <v>46023</v>
      </c>
      <c r="E16" t="s">
        <v>259</v>
      </c>
    </row>
    <row r="17" spans="1:5" x14ac:dyDescent="0.35">
      <c r="A17" t="s">
        <v>61</v>
      </c>
      <c r="B17" t="s">
        <v>211</v>
      </c>
      <c r="C17" t="s">
        <v>28</v>
      </c>
      <c r="D17" s="2">
        <v>46023</v>
      </c>
      <c r="E17" t="s">
        <v>259</v>
      </c>
    </row>
    <row r="18" spans="1:5" x14ac:dyDescent="0.35">
      <c r="A18" t="s">
        <v>63</v>
      </c>
      <c r="B18" t="s">
        <v>211</v>
      </c>
      <c r="C18" t="s">
        <v>39</v>
      </c>
      <c r="D18" s="2">
        <v>46023</v>
      </c>
      <c r="E18" t="s">
        <v>259</v>
      </c>
    </row>
    <row r="19" spans="1:5" x14ac:dyDescent="0.35">
      <c r="A19" t="s">
        <v>65</v>
      </c>
      <c r="B19" t="s">
        <v>211</v>
      </c>
      <c r="C19" t="s">
        <v>67</v>
      </c>
      <c r="D19" s="2">
        <v>46023</v>
      </c>
      <c r="E19" t="s">
        <v>259</v>
      </c>
    </row>
    <row r="20" spans="1:5" x14ac:dyDescent="0.35">
      <c r="A20" t="s">
        <v>68</v>
      </c>
      <c r="B20" t="s">
        <v>211</v>
      </c>
      <c r="C20" t="s">
        <v>39</v>
      </c>
      <c r="D20" s="2">
        <v>46023</v>
      </c>
      <c r="E20" t="s">
        <v>259</v>
      </c>
    </row>
    <row r="21" spans="1:5" x14ac:dyDescent="0.35">
      <c r="A21" t="s">
        <v>70</v>
      </c>
      <c r="B21" t="s">
        <v>211</v>
      </c>
      <c r="C21" t="s">
        <v>72</v>
      </c>
      <c r="D21" s="2">
        <v>46023</v>
      </c>
      <c r="E21" t="s">
        <v>259</v>
      </c>
    </row>
    <row r="22" spans="1:5" x14ac:dyDescent="0.35">
      <c r="A22" t="s">
        <v>73</v>
      </c>
      <c r="B22" t="s">
        <v>211</v>
      </c>
      <c r="C22" t="s">
        <v>20</v>
      </c>
      <c r="D22" s="2">
        <v>46023</v>
      </c>
      <c r="E22" t="s">
        <v>259</v>
      </c>
    </row>
    <row r="23" spans="1:5" x14ac:dyDescent="0.35">
      <c r="A23" t="s">
        <v>75</v>
      </c>
      <c r="B23" t="s">
        <v>211</v>
      </c>
      <c r="C23" t="s">
        <v>50</v>
      </c>
      <c r="D23" s="2">
        <v>46023</v>
      </c>
      <c r="E23" t="s">
        <v>259</v>
      </c>
    </row>
    <row r="24" spans="1:5" x14ac:dyDescent="0.35">
      <c r="A24" t="s">
        <v>77</v>
      </c>
      <c r="B24" t="s">
        <v>211</v>
      </c>
      <c r="C24" t="s">
        <v>39</v>
      </c>
      <c r="D24" s="2">
        <v>46023</v>
      </c>
      <c r="E24" t="s">
        <v>259</v>
      </c>
    </row>
    <row r="25" spans="1:5" x14ac:dyDescent="0.35">
      <c r="A25" t="s">
        <v>80</v>
      </c>
      <c r="B25" t="s">
        <v>211</v>
      </c>
      <c r="C25" t="s">
        <v>50</v>
      </c>
      <c r="D25" s="2">
        <v>46023</v>
      </c>
      <c r="E25" t="s">
        <v>259</v>
      </c>
    </row>
    <row r="26" spans="1:5" x14ac:dyDescent="0.35">
      <c r="A26" t="s">
        <v>83</v>
      </c>
      <c r="B26" t="s">
        <v>211</v>
      </c>
      <c r="C26" t="s">
        <v>72</v>
      </c>
      <c r="D26" s="2">
        <v>46023</v>
      </c>
      <c r="E26" t="s">
        <v>259</v>
      </c>
    </row>
    <row r="27" spans="1:5" x14ac:dyDescent="0.35">
      <c r="A27" t="s">
        <v>86</v>
      </c>
      <c r="B27" t="s">
        <v>211</v>
      </c>
      <c r="C27" t="s">
        <v>43</v>
      </c>
      <c r="D27" s="2">
        <v>46023</v>
      </c>
      <c r="E27" t="s">
        <v>259</v>
      </c>
    </row>
    <row r="28" spans="1:5" x14ac:dyDescent="0.35">
      <c r="A28" t="s">
        <v>88</v>
      </c>
      <c r="B28" t="s">
        <v>211</v>
      </c>
      <c r="C28" t="s">
        <v>60</v>
      </c>
      <c r="D28" s="2">
        <v>46023</v>
      </c>
      <c r="E28" t="s">
        <v>259</v>
      </c>
    </row>
    <row r="29" spans="1:5" x14ac:dyDescent="0.35">
      <c r="A29" t="s">
        <v>90</v>
      </c>
      <c r="B29" t="s">
        <v>211</v>
      </c>
      <c r="C29" t="s">
        <v>24</v>
      </c>
      <c r="D29" s="2">
        <v>46023</v>
      </c>
      <c r="E29" t="s">
        <v>259</v>
      </c>
    </row>
    <row r="30" spans="1:5" x14ac:dyDescent="0.35">
      <c r="A30" t="s">
        <v>92</v>
      </c>
      <c r="B30" t="s">
        <v>211</v>
      </c>
      <c r="C30" t="s">
        <v>94</v>
      </c>
      <c r="D30" s="2">
        <v>46023</v>
      </c>
      <c r="E30" t="s">
        <v>259</v>
      </c>
    </row>
    <row r="31" spans="1:5" x14ac:dyDescent="0.35">
      <c r="A31" t="s">
        <v>96</v>
      </c>
      <c r="B31" t="s">
        <v>211</v>
      </c>
      <c r="C31" t="s">
        <v>67</v>
      </c>
      <c r="D31" s="2">
        <v>46023</v>
      </c>
      <c r="E31" t="s">
        <v>259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
  <sheetViews>
    <sheetView topLeftCell="D1" workbookViewId="0">
      <pane ySplit="1" topLeftCell="A2" activePane="bottomLeft" state="frozen"/>
      <selection activeCell="A2" sqref="A2"/>
      <selection pane="bottomLeft" activeCell="J7" sqref="J7:M9"/>
    </sheetView>
  </sheetViews>
  <sheetFormatPr defaultColWidth="8.7265625" defaultRowHeight="15" customHeight="1" x14ac:dyDescent="0.35"/>
  <cols>
    <col min="1" max="1" width="10.26953125" style="9" bestFit="1" customWidth="1"/>
    <col min="2" max="2" width="25.54296875" style="9" customWidth="1"/>
    <col min="3" max="3" width="11.81640625" style="9" bestFit="1" customWidth="1"/>
    <col min="4" max="4" width="83.36328125" style="9" customWidth="1"/>
    <col min="5" max="5" width="17.26953125" style="9" customWidth="1"/>
    <col min="6" max="6" width="19.81640625" style="9" customWidth="1"/>
    <col min="7" max="7" width="16.453125" style="9" customWidth="1"/>
    <col min="8" max="9" width="8.7265625" style="9"/>
    <col min="10" max="10" width="16.453125" style="9" bestFit="1" customWidth="1"/>
    <col min="11" max="11" width="61.453125" style="9" customWidth="1"/>
    <col min="12" max="12" width="17.81640625" style="9" customWidth="1"/>
    <col min="13" max="16384" width="8.7265625" style="9"/>
  </cols>
  <sheetData>
    <row r="1" spans="1:13" ht="34.5" customHeight="1" x14ac:dyDescent="0.35">
      <c r="A1" s="8" t="s">
        <v>260</v>
      </c>
      <c r="B1" s="8" t="s">
        <v>1</v>
      </c>
      <c r="C1" s="8" t="s">
        <v>261</v>
      </c>
      <c r="D1" s="8" t="s">
        <v>262</v>
      </c>
      <c r="E1" s="8" t="s">
        <v>263</v>
      </c>
      <c r="F1" s="8" t="s">
        <v>264</v>
      </c>
      <c r="G1" s="27"/>
      <c r="H1" s="9" t="s">
        <v>265</v>
      </c>
    </row>
    <row r="2" spans="1:13" ht="28.5" customHeight="1" x14ac:dyDescent="0.35">
      <c r="A2" s="23" t="s">
        <v>266</v>
      </c>
      <c r="B2" s="23" t="s">
        <v>267</v>
      </c>
      <c r="C2" s="23" t="s">
        <v>268</v>
      </c>
      <c r="D2" s="23" t="s">
        <v>269</v>
      </c>
      <c r="E2" s="24">
        <v>24</v>
      </c>
      <c r="F2" s="24">
        <v>18</v>
      </c>
      <c r="H2" s="22" t="s">
        <v>270</v>
      </c>
      <c r="J2" s="15" t="s">
        <v>107</v>
      </c>
      <c r="K2" s="14"/>
      <c r="L2" s="14"/>
      <c r="M2" s="14"/>
    </row>
    <row r="3" spans="1:13" ht="28.5" customHeight="1" x14ac:dyDescent="0.35">
      <c r="A3" s="24" t="s">
        <v>271</v>
      </c>
      <c r="B3" s="24" t="s">
        <v>272</v>
      </c>
      <c r="C3" s="24" t="s">
        <v>273</v>
      </c>
      <c r="D3" s="24" t="s">
        <v>274</v>
      </c>
      <c r="E3" s="24">
        <v>120</v>
      </c>
      <c r="F3" s="24">
        <v>96</v>
      </c>
      <c r="H3" s="22" t="s">
        <v>275</v>
      </c>
      <c r="J3" s="14">
        <v>77063</v>
      </c>
      <c r="K3" s="14" t="s">
        <v>110</v>
      </c>
      <c r="L3" s="14" t="s">
        <v>111</v>
      </c>
      <c r="M3" s="14"/>
    </row>
    <row r="4" spans="1:13" ht="28.5" customHeight="1" x14ac:dyDescent="0.35">
      <c r="A4" s="24" t="s">
        <v>276</v>
      </c>
      <c r="B4" s="24" t="s">
        <v>277</v>
      </c>
      <c r="C4" s="24" t="s">
        <v>278</v>
      </c>
      <c r="D4" s="24" t="s">
        <v>279</v>
      </c>
      <c r="E4" s="24">
        <v>36</v>
      </c>
      <c r="F4" s="24">
        <v>30</v>
      </c>
      <c r="H4" s="22" t="s">
        <v>280</v>
      </c>
      <c r="J4" s="14">
        <v>77067</v>
      </c>
      <c r="K4" s="14" t="s">
        <v>114</v>
      </c>
      <c r="L4" s="14" t="s">
        <v>115</v>
      </c>
      <c r="M4" s="14"/>
    </row>
    <row r="5" spans="1:13" ht="15" customHeight="1" x14ac:dyDescent="0.35">
      <c r="J5" s="14"/>
      <c r="K5" s="14"/>
      <c r="L5" s="14"/>
      <c r="M5" s="14"/>
    </row>
    <row r="6" spans="1:13" ht="15" customHeight="1" thickBot="1" x14ac:dyDescent="0.4">
      <c r="J6" s="14"/>
      <c r="K6" s="14"/>
      <c r="L6" s="14"/>
      <c r="M6" s="14"/>
    </row>
    <row r="7" spans="1:13" ht="15" customHeight="1" thickBot="1" x14ac:dyDescent="0.4">
      <c r="J7" s="16" t="s">
        <v>124</v>
      </c>
      <c r="K7" s="16" t="s">
        <v>125</v>
      </c>
      <c r="L7" s="16" t="s">
        <v>126</v>
      </c>
      <c r="M7" s="16" t="s">
        <v>127</v>
      </c>
    </row>
    <row r="8" spans="1:13" ht="15" customHeight="1" thickBot="1" x14ac:dyDescent="0.4">
      <c r="J8" s="16">
        <v>77063</v>
      </c>
      <c r="K8" s="17" t="s">
        <v>129</v>
      </c>
      <c r="L8" s="17" t="s">
        <v>130</v>
      </c>
      <c r="M8" s="17" t="s">
        <v>131</v>
      </c>
    </row>
    <row r="9" spans="1:13" ht="15" customHeight="1" thickBot="1" x14ac:dyDescent="0.4">
      <c r="J9" s="16">
        <v>77067</v>
      </c>
      <c r="K9" s="17" t="s">
        <v>129</v>
      </c>
      <c r="L9" s="17" t="s">
        <v>134</v>
      </c>
      <c r="M9" s="17" t="s">
        <v>135</v>
      </c>
    </row>
    <row r="10" spans="1:13" ht="15" customHeight="1" thickBot="1" x14ac:dyDescent="0.4">
      <c r="J10" s="16"/>
      <c r="K10" s="18"/>
      <c r="L10" s="17"/>
      <c r="M10" s="17"/>
    </row>
  </sheetData>
  <hyperlinks>
    <hyperlink ref="H2" r:id="rId1" xr:uid="{51E38054-9C2E-4ED7-BEDF-1CC6D6A92EBA}"/>
    <hyperlink ref="H3" r:id="rId2" xr:uid="{A6E84D37-BCE1-4732-81EF-EE14A01C78D8}"/>
    <hyperlink ref="H4" r:id="rId3" xr:uid="{A8234DA6-F7F5-426A-8BCD-C2505E071C87}"/>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workbookViewId="0">
      <pane ySplit="1" topLeftCell="A2" activePane="bottomLeft" state="frozen"/>
      <selection activeCell="A2" sqref="A2"/>
      <selection pane="bottomLeft" activeCell="F1" sqref="F1"/>
    </sheetView>
  </sheetViews>
  <sheetFormatPr defaultRowHeight="14.5" x14ac:dyDescent="0.35"/>
  <cols>
    <col min="1" max="1" width="18.81640625" bestFit="1" customWidth="1"/>
    <col min="2" max="2" width="9.81640625" bestFit="1" customWidth="1"/>
    <col min="3" max="3" width="10.26953125" bestFit="1" customWidth="1"/>
    <col min="4" max="4" width="15" bestFit="1" customWidth="1"/>
    <col min="5" max="6" width="10.1796875" bestFit="1" customWidth="1"/>
  </cols>
  <sheetData>
    <row r="1" spans="1:6" x14ac:dyDescent="0.35">
      <c r="A1" s="1" t="s">
        <v>281</v>
      </c>
      <c r="B1" s="1" t="s">
        <v>0</v>
      </c>
      <c r="C1" s="1" t="s">
        <v>260</v>
      </c>
      <c r="D1" s="1" t="s">
        <v>262</v>
      </c>
      <c r="E1" s="1" t="s">
        <v>282</v>
      </c>
      <c r="F1" s="1" t="s">
        <v>283</v>
      </c>
    </row>
    <row r="2" spans="1:6" x14ac:dyDescent="0.35">
      <c r="A2" s="5" t="s">
        <v>284</v>
      </c>
      <c r="B2" s="5" t="s">
        <v>48</v>
      </c>
      <c r="C2" s="5" t="s">
        <v>266</v>
      </c>
      <c r="D2" s="5" t="s">
        <v>285</v>
      </c>
      <c r="E2" s="5" t="s">
        <v>286</v>
      </c>
    </row>
    <row r="3" spans="1:6" x14ac:dyDescent="0.35">
      <c r="A3" t="s">
        <v>287</v>
      </c>
      <c r="B3" t="s">
        <v>41</v>
      </c>
      <c r="C3" t="s">
        <v>271</v>
      </c>
      <c r="D3" t="s">
        <v>285</v>
      </c>
      <c r="E3" t="s">
        <v>288</v>
      </c>
    </row>
    <row r="4" spans="1:6" x14ac:dyDescent="0.35">
      <c r="A4" t="s">
        <v>289</v>
      </c>
      <c r="B4" t="s">
        <v>88</v>
      </c>
      <c r="C4" t="s">
        <v>290</v>
      </c>
      <c r="D4" t="s">
        <v>285</v>
      </c>
      <c r="E4" t="s">
        <v>291</v>
      </c>
    </row>
    <row r="5" spans="1:6" x14ac:dyDescent="0.35">
      <c r="A5" t="s">
        <v>292</v>
      </c>
      <c r="B5" t="s">
        <v>14</v>
      </c>
      <c r="C5" t="s">
        <v>290</v>
      </c>
      <c r="D5" t="s">
        <v>285</v>
      </c>
      <c r="E5" t="s">
        <v>291</v>
      </c>
    </row>
    <row r="6" spans="1:6" x14ac:dyDescent="0.35">
      <c r="A6" t="s">
        <v>293</v>
      </c>
      <c r="B6" t="s">
        <v>90</v>
      </c>
      <c r="C6" t="s">
        <v>290</v>
      </c>
      <c r="D6" t="s">
        <v>285</v>
      </c>
      <c r="E6" t="s">
        <v>291</v>
      </c>
    </row>
    <row r="7" spans="1:6" x14ac:dyDescent="0.35">
      <c r="A7" t="s">
        <v>294</v>
      </c>
      <c r="B7" t="s">
        <v>33</v>
      </c>
      <c r="C7" t="s">
        <v>290</v>
      </c>
      <c r="D7" t="s">
        <v>285</v>
      </c>
      <c r="E7" t="s">
        <v>291</v>
      </c>
    </row>
    <row r="8" spans="1:6" x14ac:dyDescent="0.35">
      <c r="A8" t="s">
        <v>295</v>
      </c>
      <c r="B8" t="s">
        <v>75</v>
      </c>
      <c r="C8" t="s">
        <v>290</v>
      </c>
      <c r="D8" t="s">
        <v>285</v>
      </c>
      <c r="E8" t="s">
        <v>291</v>
      </c>
    </row>
    <row r="9" spans="1:6" x14ac:dyDescent="0.35">
      <c r="A9" t="s">
        <v>296</v>
      </c>
      <c r="B9" t="s">
        <v>65</v>
      </c>
      <c r="C9" t="s">
        <v>290</v>
      </c>
      <c r="D9" t="s">
        <v>297</v>
      </c>
      <c r="E9" t="s">
        <v>298</v>
      </c>
      <c r="F9" t="s">
        <v>299</v>
      </c>
    </row>
    <row r="10" spans="1:6" x14ac:dyDescent="0.35">
      <c r="A10" t="s">
        <v>300</v>
      </c>
      <c r="B10" t="s">
        <v>73</v>
      </c>
      <c r="C10" t="s">
        <v>290</v>
      </c>
      <c r="D10" t="s">
        <v>297</v>
      </c>
      <c r="E10" t="s">
        <v>298</v>
      </c>
      <c r="F10" t="s">
        <v>299</v>
      </c>
    </row>
    <row r="11" spans="1:6" x14ac:dyDescent="0.35">
      <c r="A11" t="s">
        <v>301</v>
      </c>
      <c r="B11" t="s">
        <v>61</v>
      </c>
      <c r="C11" t="s">
        <v>266</v>
      </c>
      <c r="D11" t="s">
        <v>297</v>
      </c>
      <c r="E11" t="s">
        <v>302</v>
      </c>
      <c r="F11"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
  <sheetViews>
    <sheetView workbookViewId="0">
      <pane ySplit="1" topLeftCell="A2" activePane="bottomLeft" state="frozen"/>
      <selection pane="bottomLeft" sqref="A1:G8"/>
    </sheetView>
  </sheetViews>
  <sheetFormatPr defaultRowHeight="14.5" x14ac:dyDescent="0.35"/>
  <cols>
    <col min="1" max="1" width="14.453125" customWidth="1"/>
    <col min="2" max="2" width="12.1796875" bestFit="1" customWidth="1"/>
    <col min="3" max="3" width="9.81640625" bestFit="1" customWidth="1"/>
    <col min="4" max="4" width="15" bestFit="1" customWidth="1"/>
    <col min="5" max="6" width="12.453125" customWidth="1"/>
    <col min="7" max="7" width="14" customWidth="1"/>
  </cols>
  <sheetData>
    <row r="1" spans="1:7" x14ac:dyDescent="0.35">
      <c r="A1" s="1" t="s">
        <v>303</v>
      </c>
      <c r="B1" s="1" t="s">
        <v>281</v>
      </c>
      <c r="C1" s="1" t="s">
        <v>0</v>
      </c>
      <c r="D1" s="1" t="s">
        <v>262</v>
      </c>
      <c r="E1" s="1" t="s">
        <v>304</v>
      </c>
      <c r="F1" s="1" t="s">
        <v>305</v>
      </c>
      <c r="G1" s="1" t="s">
        <v>103</v>
      </c>
    </row>
    <row r="2" spans="1:7" x14ac:dyDescent="0.35">
      <c r="A2" s="5" t="s">
        <v>306</v>
      </c>
      <c r="B2" s="5" t="s">
        <v>284</v>
      </c>
      <c r="C2" s="5" t="s">
        <v>48</v>
      </c>
      <c r="D2" t="s">
        <v>307</v>
      </c>
      <c r="E2" t="s">
        <v>308</v>
      </c>
      <c r="F2" t="s">
        <v>309</v>
      </c>
      <c r="G2" t="s">
        <v>310</v>
      </c>
    </row>
    <row r="3" spans="1:7" x14ac:dyDescent="0.35">
      <c r="A3" t="s">
        <v>311</v>
      </c>
      <c r="B3" t="s">
        <v>287</v>
      </c>
      <c r="C3" t="s">
        <v>41</v>
      </c>
      <c r="D3" t="s">
        <v>312</v>
      </c>
      <c r="E3" t="s">
        <v>313</v>
      </c>
      <c r="F3" t="s">
        <v>314</v>
      </c>
      <c r="G3" t="s">
        <v>315</v>
      </c>
    </row>
    <row r="4" spans="1:7" x14ac:dyDescent="0.35">
      <c r="A4" t="s">
        <v>316</v>
      </c>
      <c r="B4" t="s">
        <v>289</v>
      </c>
      <c r="C4" t="s">
        <v>88</v>
      </c>
      <c r="D4" t="s">
        <v>317</v>
      </c>
      <c r="E4" t="s">
        <v>308</v>
      </c>
      <c r="F4" t="s">
        <v>318</v>
      </c>
      <c r="G4" t="s">
        <v>310</v>
      </c>
    </row>
    <row r="5" spans="1:7" x14ac:dyDescent="0.35">
      <c r="A5" t="s">
        <v>319</v>
      </c>
      <c r="B5" t="s">
        <v>292</v>
      </c>
      <c r="C5" t="s">
        <v>14</v>
      </c>
      <c r="D5" t="s">
        <v>317</v>
      </c>
      <c r="E5" t="s">
        <v>308</v>
      </c>
      <c r="F5" t="s">
        <v>318</v>
      </c>
      <c r="G5" t="s">
        <v>310</v>
      </c>
    </row>
    <row r="6" spans="1:7" x14ac:dyDescent="0.35">
      <c r="A6" t="s">
        <v>320</v>
      </c>
      <c r="B6" t="s">
        <v>293</v>
      </c>
      <c r="C6" t="s">
        <v>90</v>
      </c>
      <c r="D6" t="s">
        <v>317</v>
      </c>
      <c r="E6" t="s">
        <v>308</v>
      </c>
      <c r="F6" t="s">
        <v>318</v>
      </c>
      <c r="G6" t="s">
        <v>310</v>
      </c>
    </row>
    <row r="7" spans="1:7" x14ac:dyDescent="0.35">
      <c r="A7" t="s">
        <v>321</v>
      </c>
      <c r="B7" t="s">
        <v>294</v>
      </c>
      <c r="C7" t="s">
        <v>33</v>
      </c>
      <c r="D7" t="s">
        <v>317</v>
      </c>
      <c r="E7" t="s">
        <v>308</v>
      </c>
      <c r="F7" t="s">
        <v>318</v>
      </c>
      <c r="G7" t="s">
        <v>310</v>
      </c>
    </row>
    <row r="8" spans="1:7" x14ac:dyDescent="0.35">
      <c r="A8" t="s">
        <v>322</v>
      </c>
      <c r="B8" t="s">
        <v>295</v>
      </c>
      <c r="C8" t="s">
        <v>75</v>
      </c>
      <c r="D8" t="s">
        <v>317</v>
      </c>
      <c r="E8" t="s">
        <v>308</v>
      </c>
      <c r="F8" t="s">
        <v>318</v>
      </c>
      <c r="G8" t="s">
        <v>310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Members</vt:lpstr>
      <vt:lpstr>Claims</vt:lpstr>
      <vt:lpstr>BenefitPlan</vt:lpstr>
      <vt:lpstr>Providers</vt:lpstr>
      <vt:lpstr>Enrolment Eligibility</vt:lpstr>
      <vt:lpstr>QualityMeasures</vt:lpstr>
      <vt:lpstr>CareGaps_Dashboard</vt:lpstr>
      <vt:lpstr>CareMngnt_Outreach_Dashboard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Meshach A, John (Cognizant)</cp:lastModifiedBy>
  <cp:revision/>
  <dcterms:created xsi:type="dcterms:W3CDTF">2026-03-09T11:21:37Z</dcterms:created>
  <dcterms:modified xsi:type="dcterms:W3CDTF">2026-03-31T09:32:33Z</dcterms:modified>
  <cp:category/>
  <cp:contentStatus/>
</cp:coreProperties>
</file>